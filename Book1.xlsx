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Pizza Sales_Excel\"/>
    </mc:Choice>
  </mc:AlternateContent>
  <xr:revisionPtr revIDLastSave="0" documentId="13_ncr:1_{7713D9F9-31AD-4C54-96FC-9E846F105898}" xr6:coauthVersionLast="47" xr6:coauthVersionMax="47" xr10:uidLastSave="{00000000-0000-0000-0000-000000000000}"/>
  <bookViews>
    <workbookView xWindow="-120" yWindow="-120" windowWidth="20730" windowHeight="11160" activeTab="1" xr2:uid="{D0884BE9-35F0-44B5-B992-738D84F38068}"/>
  </bookViews>
  <sheets>
    <sheet name="Reports" sheetId="1" r:id="rId1"/>
    <sheet name="Dashboard" sheetId="2" r:id="rId2"/>
  </sheets>
  <definedNames>
    <definedName name="Slicer_Is_Weekend">#N/A</definedName>
    <definedName name="Slicer_year">#N/A</definedName>
  </definedNames>
  <calcPr calcId="191029"/>
  <pivotCaches>
    <pivotCache cacheId="1301" r:id="rId3"/>
    <pivotCache cacheId="1304" r:id="rId4"/>
    <pivotCache cacheId="1307" r:id="rId5"/>
    <pivotCache cacheId="1310" r:id="rId6"/>
    <pivotCache cacheId="1313" r:id="rId7"/>
    <pivotCache cacheId="1316" r:id="rId8"/>
    <pivotCache cacheId="1319" r:id="rId9"/>
    <pivotCache cacheId="1322" r:id="rId10"/>
    <pivotCache cacheId="1325" r:id="rId11"/>
    <pivotCache cacheId="1328" r:id="rId12"/>
  </pivotCaches>
  <extLst>
    <ext xmlns:x14="http://schemas.microsoft.com/office/spreadsheetml/2009/9/main" uri="{876F7934-8845-4945-9796-88D515C7AA90}">
      <x14:pivotCaches>
        <pivotCache cacheId="81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5df6cf37-3114-4d14-9b62-d6654d3c0d69"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2D8EDE-D77F-435A-BDFA-E1E303D5573A}" name="Query - Sheet1" description="Connection to the 'Sheet1' query in the workbook." type="100" refreshedVersion="8" minRefreshableVersion="5">
    <extLst>
      <ext xmlns:x15="http://schemas.microsoft.com/office/spreadsheetml/2010/11/main" uri="{DE250136-89BD-433C-8126-D09CA5730AF9}">
        <x15:connection id="54baddca-d7b2-4380-a5fd-436e6bf7c015"/>
      </ext>
    </extLst>
  </connection>
  <connection id="2" xr16:uid="{507A0219-CC36-4F74-9879-EA2E0A4072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<sst xmlns="http://schemas.openxmlformats.org/spreadsheetml/2006/main" count="71" uniqueCount="55">
  <si>
    <t>Orders</t>
  </si>
  <si>
    <t>pizza_type</t>
  </si>
  <si>
    <t>Locations</t>
  </si>
  <si>
    <t>Restaurant</t>
  </si>
  <si>
    <t>Row Labels</t>
  </si>
  <si>
    <t>Domino's</t>
  </si>
  <si>
    <t>Little Caesars</t>
  </si>
  <si>
    <t>Marco's Pizza</t>
  </si>
  <si>
    <t>Papa John's</t>
  </si>
  <si>
    <t>Pizza Hut</t>
  </si>
  <si>
    <t>Grand Total</t>
  </si>
  <si>
    <t>Albuquerque, NM</t>
  </si>
  <si>
    <t>Atlanta, GA</t>
  </si>
  <si>
    <t>Boston, MA</t>
  </si>
  <si>
    <t>Chicago, IL</t>
  </si>
  <si>
    <t>Dallas, TX</t>
  </si>
  <si>
    <t>Denver, CO</t>
  </si>
  <si>
    <t>Louisville, KY</t>
  </si>
  <si>
    <t>Miami, FL</t>
  </si>
  <si>
    <t>Milwaukee, WI</t>
  </si>
  <si>
    <t>Omaha, NE</t>
  </si>
  <si>
    <t>BBQ Chicken</t>
  </si>
  <si>
    <t>Cheese Burst</t>
  </si>
  <si>
    <t>Deep Dish</t>
  </si>
  <si>
    <t>Gluten-Free</t>
  </si>
  <si>
    <t>Margarita</t>
  </si>
  <si>
    <t>Non-Veg</t>
  </si>
  <si>
    <t>Sicilian</t>
  </si>
  <si>
    <t>Stuffed Crust</t>
  </si>
  <si>
    <t>Thai Chicken</t>
  </si>
  <si>
    <t>Thin Crust</t>
  </si>
  <si>
    <t>Veg</t>
  </si>
  <si>
    <t>Vegan</t>
  </si>
  <si>
    <t>Large</t>
  </si>
  <si>
    <t>Medium</t>
  </si>
  <si>
    <t>Small</t>
  </si>
  <si>
    <t>XLarge</t>
  </si>
  <si>
    <t>Card</t>
  </si>
  <si>
    <t>Cash</t>
  </si>
  <si>
    <t>Domino's Cash</t>
  </si>
  <si>
    <t>UPI</t>
  </si>
  <si>
    <t>Wallet</t>
  </si>
  <si>
    <t>Hut Points</t>
  </si>
  <si>
    <t>April</t>
  </si>
  <si>
    <t>August</t>
  </si>
  <si>
    <t>December</t>
  </si>
  <si>
    <t>February</t>
  </si>
  <si>
    <t>January</t>
  </si>
  <si>
    <t>July</t>
  </si>
  <si>
    <t>June</t>
  </si>
  <si>
    <t>March</t>
  </si>
  <si>
    <t>May</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</si>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</sst>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78"/>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applyAlignment="1">
      <alignment horizontal="center"/>
    </xf>
    <xf numFmtId="0" fontId="0" fillId="0" borderId="0" xfId="0" applyNumberFormat="1"/>
    <xf numFmtId="0" fontId="0" fillId="0" borderId="0" xfId="0" pivotButton="1"/>
    <xf numFmtId="0" fontId="0" fillId="0" borderId="0" xfId="0" applyAlignment="1">
      <alignment horizontal="right"/>
    </xf>
    <xf numFmtId="0" fontId="0" fillId="3" borderId="0" xfId="0"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[Book1.xlsx]Reports!PivotTable7</c:name>
    <c:fmtId val="6"/>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r>
              <a:rPr lang="en-US" sz="1400" b="1" i="0" u="none" strike="noStrike" kern="1200" spc="0" baseline="0">
                <a:solidFill>
                  <a:schemeClr val="accent6">
                    <a:lumMod val="50000"/>
                  </a:schemeClr>
                </a:solidFill>
                <a:latin typeface="+mn-lt"/>
                <a:ea typeface="+mn-ea"/>
                <a:cs typeface="+mn-cs"/>
              </a:rPr>
              <a:t> Top 10 locations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Reports!$F$5:$F$15</c:f>
              <c:strCache>
                <c:ptCount val="10"/>
                <c:pt idx="0">
                  <c:v>Chicago, IL</c:v>
                </c:pt>
                <c:pt idx="1">
                  <c:v>Denver, CO</c:v>
                </c:pt>
                <c:pt idx="2">
                  <c:v>Miami, FL</c:v>
                </c:pt>
                <c:pt idx="3">
                  <c:v>Dallas, TX</c:v>
                </c:pt>
                <c:pt idx="4">
                  <c:v>Boston, MA</c:v>
                </c:pt>
                <c:pt idx="5">
                  <c:v>Albuquerque, NM</c:v>
                </c:pt>
                <c:pt idx="6">
                  <c:v>Omaha, NE</c:v>
                </c:pt>
                <c:pt idx="7">
                  <c:v>Louisville, KY</c:v>
                </c:pt>
                <c:pt idx="8">
                  <c:v>Milwaukee, WI</c:v>
                </c:pt>
                <c:pt idx="9">
                  <c:v>Atlanta, GA</c:v>
                </c:pt>
              </c:strCache>
            </c:strRef>
          </c:cat>
          <c:val>
            <c:numRef>
              <c:f>Reports!$G$5:$G$15</c:f>
              <c:numCache>
                <c:formatCode>General</c:formatCode>
                <c:ptCount val="10"/>
                <c:pt idx="0">
                  <c:v>45</c:v>
                </c:pt>
                <c:pt idx="1">
                  <c:v>46</c:v>
                </c:pt>
                <c:pt idx="2">
                  <c:v>49</c:v>
                </c:pt>
                <c:pt idx="3">
                  <c:v>50</c:v>
                </c:pt>
                <c:pt idx="4">
                  <c:v>51</c:v>
                </c:pt>
                <c:pt idx="5">
                  <c:v>59</c:v>
                </c:pt>
                <c:pt idx="6">
                  <c:v>68</c:v>
                </c:pt>
                <c:pt idx="7">
                  <c:v>69</c:v>
                </c:pt>
                <c:pt idx="8">
                  <c:v>71</c:v>
                </c:pt>
                <c:pt idx="9">
                  <c:v>78</c:v>
                </c:pt>
              </c:numCache>
            </c:numRef>
          </c:val>
          <c:extLst>
            <c:ext xmlns:c16="http://schemas.microsoft.com/office/drawing/2014/chart" uri="{C3380CC4-5D6E-409C-BE32-E72D297353CC}">
              <c16:uniqueId val="{00000000-FDF8-48BE-A17E-F3F81F5D4445}"/>
            </c:ext>
          </c:extLst>
        </c:ser>
        <c:dLbls>
          <c:dLblPos val="outEnd"/>
          <c:showLegendKey val="0"/>
          <c:showVal val="1"/>
          <c:showCatName val="0"/>
          <c:showSerName val="0"/>
          <c:showPercent val="0"/>
          <c:showBubbleSize val="0"/>
        </c:dLbls>
        <c:gapWidth val="182"/>
        <c:axId val="1778187791"/>
        <c:axId val="1904654527"/>
      </c:barChart>
      <c:catAx>
        <c:axId val="1778187791"/>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ar-EG"/>
          </a:p>
        </c:txPr>
        <c:crossAx val="1904654527"/>
        <c:crosses val="autoZero"/>
        <c:auto val="1"/>
        <c:lblAlgn val="ctr"/>
        <c:lblOffset val="100"/>
        <c:noMultiLvlLbl val="0"/>
      </c:catAx>
      <c:valAx>
        <c:axId val="1904654527"/>
        <c:scaling>
          <c:orientation val="maxMin"/>
        </c:scaling>
        <c:delete val="1"/>
        <c:axPos val="b"/>
        <c:numFmt formatCode="General" sourceLinked="1"/>
        <c:majorTickMark val="none"/>
        <c:minorTickMark val="none"/>
        <c:tickLblPos val="nextTo"/>
        <c:crossAx val="17781877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[Book1.xlsx]Reports!PivotTable10</c:name>
    <c:fmtId val="8"/>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r>
              <a:rPr lang="en-US" sz="1400" b="1" i="0" u="none" strike="noStrike" kern="1200" spc="0" baseline="0">
                <a:solidFill>
                  <a:schemeClr val="accent6">
                    <a:lumMod val="50000"/>
                  </a:schemeClr>
                </a:solidFill>
                <a:latin typeface="+mn-lt"/>
                <a:ea typeface="+mn-ea"/>
                <a:cs typeface="+mn-cs"/>
              </a:rPr>
              <a:t>Orders by payment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50000"/>
            </a:schemeClr>
          </a:solidFill>
          <a:ln w="19050">
            <a:solidFill>
              <a:schemeClr val="lt1"/>
            </a:solidFill>
          </a:ln>
          <a:effectLst/>
        </c:spPr>
        <c:dLbl>
          <c:idx val="0"/>
          <c:layout>
            <c:manualLayout>
              <c:x val="9.166666666666666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tint val="50000"/>
            </a:schemeClr>
          </a:solidFill>
          <a:ln w="19050">
            <a:solidFill>
              <a:schemeClr val="lt1"/>
            </a:solidFill>
          </a:ln>
          <a:effectLst/>
        </c:spPr>
        <c:dLbl>
          <c:idx val="0"/>
          <c:layout>
            <c:manualLayout>
              <c:x val="-7.4999999999999997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tint val="70000"/>
            </a:schemeClr>
          </a:solidFill>
          <a:ln w="19050">
            <a:solidFill>
              <a:schemeClr val="lt1"/>
            </a:solidFill>
          </a:ln>
          <a:effectLst/>
        </c:spPr>
        <c:dLbl>
          <c:idx val="0"/>
          <c:layout>
            <c:manualLayout>
              <c:x val="-0.111111111111111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tint val="90000"/>
            </a:schemeClr>
          </a:solidFill>
          <a:ln w="19050">
            <a:solidFill>
              <a:schemeClr val="lt1"/>
            </a:solidFill>
          </a:ln>
          <a:effectLst/>
        </c:spPr>
        <c:dLbl>
          <c:idx val="0"/>
          <c:layout>
            <c:manualLayout>
              <c:x val="-0.1388888888888889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hade val="90000"/>
            </a:schemeClr>
          </a:solidFill>
          <a:ln w="19050">
            <a:solidFill>
              <a:schemeClr val="lt1"/>
            </a:solidFill>
          </a:ln>
          <a:effectLst/>
        </c:spPr>
        <c:dLbl>
          <c:idx val="0"/>
          <c:layout>
            <c:manualLayout>
              <c:x val="0.1666666666666666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hade val="70000"/>
            </a:schemeClr>
          </a:solidFill>
          <a:ln w="19050">
            <a:solidFill>
              <a:schemeClr val="lt1"/>
            </a:solidFill>
          </a:ln>
          <a:effectLst/>
        </c:spPr>
        <c:dLbl>
          <c:idx val="0"/>
          <c:layout>
            <c:manualLayout>
              <c:x val="0.1388888888888889"/>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hade val="50000"/>
            </a:schemeClr>
          </a:solidFill>
          <a:ln w="19050">
            <a:solidFill>
              <a:schemeClr val="lt1"/>
            </a:solidFill>
          </a:ln>
          <a:effectLst/>
        </c:spPr>
        <c:dLbl>
          <c:idx val="0"/>
          <c:layout>
            <c:manualLayout>
              <c:x val="9.166666666666666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hade val="70000"/>
            </a:schemeClr>
          </a:solidFill>
          <a:ln w="19050">
            <a:solidFill>
              <a:schemeClr val="lt1"/>
            </a:solidFill>
          </a:ln>
          <a:effectLst/>
        </c:spPr>
        <c:dLbl>
          <c:idx val="0"/>
          <c:layout>
            <c:manualLayout>
              <c:x val="0.1388888888888889"/>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hade val="90000"/>
            </a:schemeClr>
          </a:solidFill>
          <a:ln w="19050">
            <a:solidFill>
              <a:schemeClr val="lt1"/>
            </a:solidFill>
          </a:ln>
          <a:effectLst/>
        </c:spPr>
        <c:dLbl>
          <c:idx val="0"/>
          <c:layout>
            <c:manualLayout>
              <c:x val="0.1666666666666666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0.1388888888888889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tint val="70000"/>
            </a:schemeClr>
          </a:solidFill>
          <a:ln w="19050">
            <a:solidFill>
              <a:schemeClr val="lt1"/>
            </a:solidFill>
          </a:ln>
          <a:effectLst/>
        </c:spPr>
        <c:dLbl>
          <c:idx val="0"/>
          <c:layout>
            <c:manualLayout>
              <c:x val="-0.111111111111111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dLbl>
          <c:idx val="0"/>
          <c:layout>
            <c:manualLayout>
              <c:x val="-7.4999999999999997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shade val="50000"/>
            </a:schemeClr>
          </a:solidFill>
          <a:ln w="19050">
            <a:solidFill>
              <a:schemeClr val="lt1"/>
            </a:solidFill>
          </a:ln>
          <a:effectLst/>
        </c:spPr>
        <c:dLbl>
          <c:idx val="0"/>
          <c:layout>
            <c:manualLayout>
              <c:x val="9.166666666666666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hade val="70000"/>
            </a:schemeClr>
          </a:solidFill>
          <a:ln w="19050">
            <a:solidFill>
              <a:schemeClr val="lt1"/>
            </a:solidFill>
          </a:ln>
          <a:effectLst/>
        </c:spPr>
        <c:dLbl>
          <c:idx val="0"/>
          <c:layout>
            <c:manualLayout>
              <c:x val="0.17364080115927835"/>
              <c:y val="-5.23350649834778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shade val="90000"/>
            </a:schemeClr>
          </a:solidFill>
          <a:ln w="19050">
            <a:solidFill>
              <a:schemeClr val="lt1"/>
            </a:solidFill>
          </a:ln>
          <a:effectLst/>
        </c:spPr>
        <c:dLbl>
          <c:idx val="0"/>
          <c:layout>
            <c:manualLayout>
              <c:x val="0.1666666666666666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6"/>
          </a:solidFill>
          <a:ln w="19050">
            <a:solidFill>
              <a:schemeClr val="lt1"/>
            </a:solidFill>
          </a:ln>
          <a:effectLst/>
        </c:spPr>
        <c:dLbl>
          <c:idx val="0"/>
          <c:layout>
            <c:manualLayout>
              <c:x val="-0.13888888888888895"/>
              <c:y val="7.8703703703703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6">
              <a:tint val="70000"/>
            </a:schemeClr>
          </a:solidFill>
          <a:ln w="19050">
            <a:solidFill>
              <a:schemeClr val="lt1"/>
            </a:solidFill>
          </a:ln>
          <a:effectLst/>
        </c:spPr>
        <c:dLbl>
          <c:idx val="0"/>
          <c:layout>
            <c:manualLayout>
              <c:x val="-0.111111111111111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solidFill>
          <a:ln w="19050">
            <a:solidFill>
              <a:schemeClr val="lt1"/>
            </a:solidFill>
          </a:ln>
          <a:effectLst/>
        </c:spPr>
        <c:dLbl>
          <c:idx val="0"/>
          <c:layout>
            <c:manualLayout>
              <c:x val="-0.16088951889639277"/>
              <c:y val="-3.52467440842607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623295840035195"/>
          <c:y val="0.2100034909235986"/>
          <c:w val="0.54640085684824269"/>
          <c:h val="0.58718581687612204"/>
        </c:manualLayout>
      </c:layout>
      <c:doughnutChart>
        <c:varyColors val="1"/>
        <c:ser>
          <c:idx val="0"/>
          <c:order val="0"/>
          <c:tx>
            <c:strRef>
              <c:f>Reports!$D$19</c:f>
              <c:strCache>
                <c:ptCount val="1"/>
                <c:pt idx="0">
                  <c:v>Total</c:v>
                </c:pt>
              </c:strCache>
            </c:strRef>
          </c:tx>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1-3F37-4ECE-BE6D-5F8AA545F045}"/>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3-3F37-4ECE-BE6D-5F8AA545F045}"/>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5-3F37-4ECE-BE6D-5F8AA545F045}"/>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3F37-4ECE-BE6D-5F8AA545F045}"/>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3F37-4ECE-BE6D-5F8AA545F045}"/>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3F37-4ECE-BE6D-5F8AA545F045}"/>
              </c:ext>
            </c:extLst>
          </c:dPt>
          <c:dLbls>
            <c:dLbl>
              <c:idx val="0"/>
              <c:layout>
                <c:manualLayout>
                  <c:x val="9.166666666666666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37-4ECE-BE6D-5F8AA545F045}"/>
                </c:ext>
              </c:extLst>
            </c:dLbl>
            <c:dLbl>
              <c:idx val="1"/>
              <c:layout>
                <c:manualLayout>
                  <c:x val="0.17364080115927835"/>
                  <c:y val="-5.23350649834778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37-4ECE-BE6D-5F8AA545F045}"/>
                </c:ext>
              </c:extLst>
            </c:dLbl>
            <c:dLbl>
              <c:idx val="2"/>
              <c:layout>
                <c:manualLayout>
                  <c:x val="0.16666666666666666"/>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37-4ECE-BE6D-5F8AA545F045}"/>
                </c:ext>
              </c:extLst>
            </c:dLbl>
            <c:dLbl>
              <c:idx val="3"/>
              <c:layout>
                <c:manualLayout>
                  <c:x val="-0.13888888888888895"/>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F37-4ECE-BE6D-5F8AA545F045}"/>
                </c:ext>
              </c:extLst>
            </c:dLbl>
            <c:dLbl>
              <c:idx val="4"/>
              <c:layout>
                <c:manualLayout>
                  <c:x val="-0.111111111111111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F37-4ECE-BE6D-5F8AA545F045}"/>
                </c:ext>
              </c:extLst>
            </c:dLbl>
            <c:dLbl>
              <c:idx val="5"/>
              <c:layout>
                <c:manualLayout>
                  <c:x val="-0.16088951889639277"/>
                  <c:y val="-3.52467440842607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F37-4ECE-BE6D-5F8AA545F04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Reports!$C$20:$C$26</c:f>
              <c:strCache>
                <c:ptCount val="6"/>
                <c:pt idx="0">
                  <c:v>Card</c:v>
                </c:pt>
                <c:pt idx="1">
                  <c:v>Cash</c:v>
                </c:pt>
                <c:pt idx="2">
                  <c:v>Domino's Cash</c:v>
                </c:pt>
                <c:pt idx="3">
                  <c:v>Hut Points</c:v>
                </c:pt>
                <c:pt idx="4">
                  <c:v>UPI</c:v>
                </c:pt>
                <c:pt idx="5">
                  <c:v>Wallet</c:v>
                </c:pt>
              </c:strCache>
            </c:strRef>
          </c:cat>
          <c:val>
            <c:numRef>
              <c:f>Reports!$D$20:$D$26</c:f>
              <c:numCache>
                <c:formatCode>0%</c:formatCode>
                <c:ptCount val="6"/>
                <c:pt idx="0">
                  <c:v>0.27490039840637448</c:v>
                </c:pt>
                <c:pt idx="1">
                  <c:v>0.20119521912350596</c:v>
                </c:pt>
                <c:pt idx="2">
                  <c:v>2.2908366533864542E-2</c:v>
                </c:pt>
                <c:pt idx="3">
                  <c:v>2.3904382470119521E-2</c:v>
                </c:pt>
                <c:pt idx="4">
                  <c:v>0.26992031872509958</c:v>
                </c:pt>
                <c:pt idx="5">
                  <c:v>0.20717131474103587</c:v>
                </c:pt>
              </c:numCache>
            </c:numRef>
          </c:val>
          <c:extLst>
            <c:ext xmlns:c16="http://schemas.microsoft.com/office/drawing/2014/chart" uri="{C3380CC4-5D6E-409C-BE32-E72D297353CC}">
              <c16:uniqueId val="{0000000C-3F37-4ECE-BE6D-5F8AA545F04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[Book1.xlsx]Reports!PivotTable9</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r>
              <a:rPr lang="en-US" sz="1400" b="1" i="0" u="none" strike="noStrike" kern="1200" spc="0" baseline="0">
                <a:solidFill>
                  <a:schemeClr val="accent6">
                    <a:lumMod val="50000"/>
                  </a:schemeClr>
                </a:solidFill>
                <a:latin typeface="+mn-lt"/>
                <a:ea typeface="+mn-ea"/>
                <a:cs typeface="+mn-cs"/>
              </a:rPr>
              <a:t>Orders by size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9.9999999999999895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13055555555555556"/>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1375988547263603"/>
              <c:y val="7.11402251510316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dLbl>
          <c:idx val="0"/>
          <c:layout>
            <c:manualLayout>
              <c:x val="-0.1"/>
              <c:y val="-9.2592592592592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095895810799591"/>
          <c:y val="0.20147535613276718"/>
          <c:w val="0.50843041699289748"/>
          <c:h val="0.69684421517582673"/>
        </c:manualLayout>
      </c:layout>
      <c:doughnutChart>
        <c:varyColors val="1"/>
        <c:ser>
          <c:idx val="0"/>
          <c:order val="0"/>
          <c:tx>
            <c:strRef>
              <c:f>Reports!$J$18</c:f>
              <c:strCache>
                <c:ptCount val="1"/>
                <c:pt idx="0">
                  <c:v>Total</c:v>
                </c:pt>
              </c:strCache>
            </c:strRef>
          </c:tx>
          <c:explosion val="3"/>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FBAF-4206-B2EF-61A68494B833}"/>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FBAF-4206-B2EF-61A68494B833}"/>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FBAF-4206-B2EF-61A68494B833}"/>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FBAF-4206-B2EF-61A68494B833}"/>
              </c:ext>
            </c:extLst>
          </c:dPt>
          <c:dLbls>
            <c:dLbl>
              <c:idx val="0"/>
              <c:layout>
                <c:manualLayout>
                  <c:x val="9.9999999999999895E-2"/>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AF-4206-B2EF-61A68494B833}"/>
                </c:ext>
              </c:extLst>
            </c:dLbl>
            <c:dLbl>
              <c:idx val="1"/>
              <c:layout>
                <c:manualLayout>
                  <c:x val="0.13055555555555556"/>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AF-4206-B2EF-61A68494B833}"/>
                </c:ext>
              </c:extLst>
            </c:dLbl>
            <c:dLbl>
              <c:idx val="2"/>
              <c:layout>
                <c:manualLayout>
                  <c:x val="-0.1375988547263603"/>
                  <c:y val="7.11402251510316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AF-4206-B2EF-61A68494B833}"/>
                </c:ext>
              </c:extLst>
            </c:dLbl>
            <c:dLbl>
              <c:idx val="3"/>
              <c:layout>
                <c:manualLayout>
                  <c:x val="-0.1"/>
                  <c:y val="-9.259259259259261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BAF-4206-B2EF-61A68494B83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Reports!$I$19:$I$23</c:f>
              <c:strCache>
                <c:ptCount val="4"/>
                <c:pt idx="0">
                  <c:v>Large</c:v>
                </c:pt>
                <c:pt idx="1">
                  <c:v>Medium</c:v>
                </c:pt>
                <c:pt idx="2">
                  <c:v>Small</c:v>
                </c:pt>
                <c:pt idx="3">
                  <c:v>XLarge</c:v>
                </c:pt>
              </c:strCache>
            </c:strRef>
          </c:cat>
          <c:val>
            <c:numRef>
              <c:f>Reports!$J$19:$J$23</c:f>
              <c:numCache>
                <c:formatCode>0%</c:formatCode>
                <c:ptCount val="4"/>
                <c:pt idx="0">
                  <c:v>0.23904382470119523</c:v>
                </c:pt>
                <c:pt idx="1">
                  <c:v>0.42729083665338646</c:v>
                </c:pt>
                <c:pt idx="2">
                  <c:v>0.13147410358565736</c:v>
                </c:pt>
                <c:pt idx="3">
                  <c:v>0.20219123505976094</c:v>
                </c:pt>
              </c:numCache>
            </c:numRef>
          </c:val>
          <c:extLst>
            <c:ext xmlns:c16="http://schemas.microsoft.com/office/drawing/2014/chart" uri="{C3380CC4-5D6E-409C-BE32-E72D297353CC}">
              <c16:uniqueId val="{00000008-FBAF-4206-B2EF-61A68494B83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Orders</a:t>
            </a:r>
            <a:r>
              <a:rPr lang="en-US" b="1" baseline="0">
                <a:solidFill>
                  <a:schemeClr val="accent6">
                    <a:lumMod val="50000"/>
                  </a:schemeClr>
                </a:solidFill>
              </a:rPr>
              <a:t> by month</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Reports!$G$18</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Reports!$F$19:$F$31</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Reports!$G$19:$G$31</c:f>
              <c:numCache>
                <c:formatCode>General</c:formatCode>
                <c:ptCount val="12"/>
                <c:pt idx="0">
                  <c:v>91</c:v>
                </c:pt>
                <c:pt idx="1">
                  <c:v>117</c:v>
                </c:pt>
                <c:pt idx="2">
                  <c:v>80</c:v>
                </c:pt>
                <c:pt idx="3">
                  <c:v>86</c:v>
                </c:pt>
                <c:pt idx="4">
                  <c:v>88</c:v>
                </c:pt>
                <c:pt idx="5">
                  <c:v>49</c:v>
                </c:pt>
                <c:pt idx="6">
                  <c:v>91</c:v>
                </c:pt>
                <c:pt idx="7">
                  <c:v>94</c:v>
                </c:pt>
                <c:pt idx="8">
                  <c:v>68</c:v>
                </c:pt>
                <c:pt idx="9">
                  <c:v>60</c:v>
                </c:pt>
                <c:pt idx="10">
                  <c:v>75</c:v>
                </c:pt>
                <c:pt idx="11">
                  <c:v>105</c:v>
                </c:pt>
              </c:numCache>
            </c:numRef>
          </c:val>
          <c:smooth val="0"/>
          <c:extLst>
            <c:ext xmlns:c16="http://schemas.microsoft.com/office/drawing/2014/chart" uri="{C3380CC4-5D6E-409C-BE32-E72D297353CC}">
              <c16:uniqueId val="{00000000-EBEB-4D40-9214-5A1A40CEB3DC}"/>
            </c:ext>
          </c:extLst>
        </c:ser>
        <c:dLbls>
          <c:dLblPos val="t"/>
          <c:showLegendKey val="0"/>
          <c:showVal val="1"/>
          <c:showCatName val="0"/>
          <c:showSerName val="0"/>
          <c:showPercent val="0"/>
          <c:showBubbleSize val="0"/>
        </c:dLbls>
        <c:smooth val="0"/>
        <c:axId val="1778182687"/>
        <c:axId val="1904691487"/>
      </c:lineChart>
      <c:catAx>
        <c:axId val="17781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crossAx val="1904691487"/>
        <c:crosses val="autoZero"/>
        <c:auto val="1"/>
        <c:lblAlgn val="ctr"/>
        <c:lblOffset val="100"/>
        <c:noMultiLvlLbl val="0"/>
      </c:catAx>
      <c:valAx>
        <c:axId val="1904691487"/>
        <c:scaling>
          <c:orientation val="minMax"/>
        </c:scaling>
        <c:delete val="1"/>
        <c:axPos val="l"/>
        <c:numFmt formatCode="General" sourceLinked="1"/>
        <c:majorTickMark val="none"/>
        <c:minorTickMark val="none"/>
        <c:tickLblPos val="nextTo"/>
        <c:crossAx val="17781826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[Book1.xlsx]Reports!PivotTable6</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r>
              <a:rPr lang="en-US" sz="1400" b="1" i="0" u="none" strike="noStrike" kern="1200" spc="0" baseline="0">
                <a:solidFill>
                  <a:schemeClr val="accent6">
                    <a:lumMod val="50000"/>
                  </a:schemeClr>
                </a:solidFill>
                <a:latin typeface="+mn-lt"/>
                <a:ea typeface="+mn-ea"/>
                <a:cs typeface="+mn-cs"/>
              </a:rPr>
              <a:t>Orders by Restauarnt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4284228222122E-2"/>
          <c:y val="0.18964438568458392"/>
          <c:w val="0.89415808705705691"/>
          <c:h val="0.56852520569086407"/>
        </c:manualLayout>
      </c:layout>
      <c:barChart>
        <c:barDir val="col"/>
        <c:grouping val="clustered"/>
        <c:varyColors val="0"/>
        <c:ser>
          <c:idx val="0"/>
          <c:order val="0"/>
          <c:tx>
            <c:strRef>
              <c:f>Reports!$J$4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Reports!$I$5:$I$10</c:f>
              <c:strCache>
                <c:ptCount val="5"/>
                <c:pt idx="0">
                  <c:v>Domino's</c:v>
                </c:pt>
                <c:pt idx="1">
                  <c:v>Papa John's</c:v>
                </c:pt>
                <c:pt idx="2">
                  <c:v>Little Caesars</c:v>
                </c:pt>
                <c:pt idx="3">
                  <c:v>Marco's Pizza</c:v>
                </c:pt>
                <c:pt idx="4">
                  <c:v>Pizza Hut</c:v>
                </c:pt>
              </c:strCache>
            </c:strRef>
          </c:cat>
          <c:val>
            <c:numRef>
              <c:f>Reports!$J$5:$J$10</c:f>
              <c:numCache>
                <c:formatCode>General</c:formatCode>
                <c:ptCount val="5"/>
                <c:pt idx="0">
                  <c:v>212</c:v>
                </c:pt>
                <c:pt idx="1">
                  <c:v>204</c:v>
                </c:pt>
                <c:pt idx="2">
                  <c:v>199</c:v>
                </c:pt>
                <c:pt idx="3">
                  <c:v>195</c:v>
                </c:pt>
                <c:pt idx="4">
                  <c:v>194</c:v>
                </c:pt>
              </c:numCache>
            </c:numRef>
          </c:val>
          <c:extLst>
            <c:ext xmlns:c16="http://schemas.microsoft.com/office/drawing/2014/chart" uri="{C3380CC4-5D6E-409C-BE32-E72D297353CC}">
              <c16:uniqueId val="{00000000-1870-431F-97C2-D0748FCD82A5}"/>
            </c:ext>
          </c:extLst>
        </c:ser>
        <c:dLbls>
          <c:dLblPos val="outEnd"/>
          <c:showLegendKey val="0"/>
          <c:showVal val="1"/>
          <c:showCatName val="0"/>
          <c:showSerName val="0"/>
          <c:showPercent val="0"/>
          <c:showBubbleSize val="0"/>
        </c:dLbls>
        <c:gapWidth val="219"/>
        <c:overlap val="-27"/>
        <c:axId val="233995392"/>
        <c:axId val="1904698687"/>
      </c:barChart>
      <c:catAx>
        <c:axId val="2339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904698687"/>
        <c:crosses val="autoZero"/>
        <c:auto val="1"/>
        <c:lblAlgn val="ctr"/>
        <c:lblOffset val="100"/>
        <c:noMultiLvlLbl val="0"/>
      </c:catAx>
      <c:valAx>
        <c:axId val="1904698687"/>
        <c:scaling>
          <c:orientation val="minMax"/>
        </c:scaling>
        <c:delete val="1"/>
        <c:axPos val="l"/>
        <c:numFmt formatCode="General" sourceLinked="1"/>
        <c:majorTickMark val="none"/>
        <c:minorTickMark val="none"/>
        <c:tickLblPos val="nextTo"/>
        <c:crossAx val="23399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[Book1.xlsx]Reports!PivotTable8</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r>
              <a:rPr lang="en-US" sz="1400" b="1" i="0" u="none" strike="noStrike" kern="1200" spc="0" baseline="0">
                <a:solidFill>
                  <a:schemeClr val="accent6">
                    <a:lumMod val="50000"/>
                  </a:schemeClr>
                </a:solidFill>
                <a:latin typeface="+mn-lt"/>
                <a:ea typeface="+mn-ea"/>
                <a:cs typeface="+mn-cs"/>
              </a:rPr>
              <a:t>Orders by type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6">
                  <a:lumMod val="50000"/>
                </a:schemeClr>
              </a:solidFill>
              <a:latin typeface="+mn-lt"/>
              <a:ea typeface="+mn-ea"/>
              <a:cs typeface="+mn-cs"/>
            </a:defRPr>
          </a:pPr>
          <a:endParaRPr lang="ar-E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Reports!$D$4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Reports!$C$5:$C$17</c:f>
              <c:strCache>
                <c:ptCount val="12"/>
                <c:pt idx="0">
                  <c:v>BBQ Chicken</c:v>
                </c:pt>
                <c:pt idx="1">
                  <c:v>Cheese Burst</c:v>
                </c:pt>
                <c:pt idx="2">
                  <c:v>Deep Dish</c:v>
                </c:pt>
                <c:pt idx="3">
                  <c:v>Gluten-Free</c:v>
                </c:pt>
                <c:pt idx="4">
                  <c:v>Margarita</c:v>
                </c:pt>
                <c:pt idx="5">
                  <c:v>Non-Veg</c:v>
                </c:pt>
                <c:pt idx="6">
                  <c:v>Sicilian</c:v>
                </c:pt>
                <c:pt idx="7">
                  <c:v>Stuffed Crust</c:v>
                </c:pt>
                <c:pt idx="8">
                  <c:v>Thai Chicken</c:v>
                </c:pt>
                <c:pt idx="9">
                  <c:v>Thin Crust</c:v>
                </c:pt>
                <c:pt idx="10">
                  <c:v>Veg</c:v>
                </c:pt>
                <c:pt idx="11">
                  <c:v>Vegan</c:v>
                </c:pt>
              </c:strCache>
            </c:strRef>
          </c:cat>
          <c:val>
            <c:numRef>
              <c:f>Reports!$D$5:$D$17</c:f>
              <c:numCache>
                <c:formatCode>General</c:formatCode>
                <c:ptCount val="12"/>
                <c:pt idx="0">
                  <c:v>54</c:v>
                </c:pt>
                <c:pt idx="1">
                  <c:v>188</c:v>
                </c:pt>
                <c:pt idx="2">
                  <c:v>6</c:v>
                </c:pt>
                <c:pt idx="3">
                  <c:v>41</c:v>
                </c:pt>
                <c:pt idx="4">
                  <c:v>54</c:v>
                </c:pt>
                <c:pt idx="5">
                  <c:v>216</c:v>
                </c:pt>
                <c:pt idx="6">
                  <c:v>64</c:v>
                </c:pt>
                <c:pt idx="7">
                  <c:v>21</c:v>
                </c:pt>
                <c:pt idx="8">
                  <c:v>24</c:v>
                </c:pt>
                <c:pt idx="9">
                  <c:v>2</c:v>
                </c:pt>
                <c:pt idx="10">
                  <c:v>202</c:v>
                </c:pt>
                <c:pt idx="11">
                  <c:v>132</c:v>
                </c:pt>
              </c:numCache>
            </c:numRef>
          </c:val>
          <c:extLst>
            <c:ext xmlns:c16="http://schemas.microsoft.com/office/drawing/2014/chart" uri="{C3380CC4-5D6E-409C-BE32-E72D297353CC}">
              <c16:uniqueId val="{00000000-D6E1-43DC-926B-8B8970AEE4CE}"/>
            </c:ext>
          </c:extLst>
        </c:ser>
        <c:dLbls>
          <c:dLblPos val="outEnd"/>
          <c:showLegendKey val="0"/>
          <c:showVal val="1"/>
          <c:showCatName val="0"/>
          <c:showSerName val="0"/>
          <c:showPercent val="0"/>
          <c:showBubbleSize val="0"/>
        </c:dLbls>
        <c:gapWidth val="219"/>
        <c:overlap val="-27"/>
        <c:axId val="1778185007"/>
        <c:axId val="1019301023"/>
      </c:barChart>
      <c:catAx>
        <c:axId val="17781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1019301023"/>
        <c:crosses val="autoZero"/>
        <c:auto val="1"/>
        <c:lblAlgn val="ctr"/>
        <c:lblOffset val="100"/>
        <c:noMultiLvlLbl val="0"/>
      </c:catAx>
      <c:valAx>
        <c:axId val="1019301023"/>
        <c:scaling>
          <c:orientation val="minMax"/>
        </c:scaling>
        <c:delete val="1"/>
        <c:axPos val="l"/>
        <c:numFmt formatCode="General" sourceLinked="1"/>
        <c:majorTickMark val="none"/>
        <c:minorTickMark val="none"/>
        <c:tickLblPos val="nextTo"/>
        <c:crossAx val="17781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228600</xdr:colOff>
      <xdr:row>0</xdr:row>
      <xdr:rowOff>57150</xdr:rowOff>
    </xdr:from>
    <xdr:to>
      <xdr:col>8</xdr:col>
      <xdr:colOff>219074</xdr:colOff>
      <xdr:row>1</xdr:row>
      <xdr:rowOff>123825</xdr:rowOff>
    </xdr:to>
    <xdr:sp macro="" textlink="">
      <xdr:nvSpPr>
        <xdr:cNvPr id="2" name="TextBox 1">
          <a:extLst>
            <a:ext uri="{FF2B5EF4-FFF2-40B4-BE49-F238E27FC236}">
              <a16:creationId xmlns:a16="http://schemas.microsoft.com/office/drawing/2014/main" id="{10B1112E-6796-A71B-2A66-36AFD87FAC20}"/>
            </a:ext>
          </a:extLst>
        </xdr:cNvPr>
        <xdr:cNvSpPr txBox="1"/>
      </xdr:nvSpPr>
      <xdr:spPr>
        <a:xfrm>
          <a:off x="11230441726" y="57150"/>
          <a:ext cx="3419474" cy="2476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en-US" sz="1600" b="1"/>
            <a:t>Orders</a:t>
          </a:r>
          <a:r>
            <a:rPr lang="en-US" sz="1600" b="1" baseline="0"/>
            <a:t> Analysis Reports</a:t>
          </a:r>
          <a:endParaRPr lang="ar-EG" sz="1600" b="1"/>
        </a:p>
      </xdr:txBody>
    </xdr:sp>
    <xdr:clientData/>
  </xdr:twoCellAnchor>
  <xdr:twoCellAnchor editAs="oneCell">
    <xdr:from>
      <xdr:col>5</xdr:col>
      <xdr:colOff>333375</xdr:colOff>
      <xdr:row>4</xdr:row>
      <xdr:rowOff>123825</xdr:rowOff>
    </xdr:from>
    <xdr:to>
      <xdr:col>7</xdr:col>
      <xdr:colOff>495300</xdr:colOff>
      <xdr:row>18</xdr:row>
      <xdr:rowOff>114300</xdr:rowOff>
    </xdr:to>
    <mc:AlternateContent xmlns:mc="http://schemas.openxmlformats.org/markup-compatibility/2006">
      <mc:Choice xmlns:a14="http://schemas.microsoft.com/office/drawing/2010/main" Requires="a14">
        <xdr:graphicFrame macro="">
          <xdr:nvGraphicFramePr>
            <xdr:cNvPr id="13" name="Is Weekend">
              <a:extLst>
                <a:ext uri="{FF2B5EF4-FFF2-40B4-BE49-F238E27FC236}">
                  <a16:creationId xmlns:a16="http://schemas.microsoft.com/office/drawing/2014/main" id="{13EEED24-E9B5-B904-DCE3-A94116145AA0}"/>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dr:sp macro="" textlink="">
          <xdr:nvSpPr>
            <xdr:cNvPr id="0" name=""/>
            <xdr:cNvSpPr>
              <a:spLocks noTextEdit="1"/>
            </xdr:cNvSpPr>
          </xdr:nvSpPr>
          <xdr:spPr>
            <a:xfrm>
              <a:off x="11231003700" y="8477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251703</xdr:colOff>
      <xdr:row>0</xdr:row>
      <xdr:rowOff>92716</xdr:rowOff>
    </xdr:from>
    <xdr:to>
      <xdr:col>15</xdr:col>
      <xdr:colOff>235403</xdr:colOff>
      <xdr:row>32</xdr:row>
      <xdr:rowOff>76200</xdr:rowOff>
    </xdr:to>
    <xdr:sp macro="" textlink="">
      <xdr:nvSpPr>
        <xdr:cNvPr id="2" name="Rectangle: Rounded Corners 1">
          <a:extLst>
            <a:ext uri="{FF2B5EF4-FFF2-40B4-BE49-F238E27FC236}">
              <a16:creationId xmlns:a16="http://schemas.microsoft.com/office/drawing/2014/main" id="{6E47D5FB-AB49-0B69-9078-D7C317B41DE8}"/>
            </a:ext>
          </a:extLst>
        </xdr:cNvPr>
        <xdr:cNvSpPr/>
      </xdr:nvSpPr>
      <xdr:spPr>
        <a:xfrm>
          <a:off x="11225624797" y="92716"/>
          <a:ext cx="10270700" cy="5774684"/>
        </a:xfrm>
        <a:custGeom>
          <a:avLst/>
          <a:gdLst>
            <a:gd name="csX0" fmla="*/ 0 w 8505825"/>
            <a:gd name="csY0" fmla="*/ 453015 h 4883534"/>
            <a:gd name="csX1" fmla="*/ 841391 w 8505825"/>
            <a:gd name="csY1" fmla="*/ 2149 h 4883534"/>
            <a:gd name="csX2" fmla="*/ 7702534 w 8505825"/>
            <a:gd name="csY2" fmla="*/ 2149 h 4883534"/>
            <a:gd name="csX3" fmla="*/ 8505825 w 8505825"/>
            <a:gd name="csY3" fmla="*/ 395865 h 4883534"/>
            <a:gd name="csX4" fmla="*/ 8477250 w 8505825"/>
            <a:gd name="csY4" fmla="*/ 4504282 h 4883534"/>
            <a:gd name="csX5" fmla="*/ 7702534 w 8505825"/>
            <a:gd name="csY5" fmla="*/ 4878948 h 4883534"/>
            <a:gd name="csX6" fmla="*/ 841391 w 8505825"/>
            <a:gd name="csY6" fmla="*/ 4878948 h 4883534"/>
            <a:gd name="csX7" fmla="*/ 28575 w 8505825"/>
            <a:gd name="csY7" fmla="*/ 4389982 h 4883534"/>
            <a:gd name="csX8" fmla="*/ 0 w 8505825"/>
            <a:gd name="csY8" fmla="*/ 453015 h 4883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505825" h="4883534">
              <a:moveTo>
                <a:pt x="0" y="453015"/>
              </a:moveTo>
              <a:cubicBezTo>
                <a:pt x="0" y="4109"/>
                <a:pt x="392485" y="2149"/>
                <a:pt x="841391" y="2149"/>
              </a:cubicBezTo>
              <a:lnTo>
                <a:pt x="7702534" y="2149"/>
              </a:lnTo>
              <a:cubicBezTo>
                <a:pt x="8151440" y="2149"/>
                <a:pt x="8505825" y="-53041"/>
                <a:pt x="8505825" y="395865"/>
              </a:cubicBezTo>
              <a:lnTo>
                <a:pt x="8477250" y="4504282"/>
              </a:lnTo>
              <a:cubicBezTo>
                <a:pt x="8477250" y="4953188"/>
                <a:pt x="8151440" y="4878948"/>
                <a:pt x="7702534" y="4878948"/>
              </a:cubicBezTo>
              <a:lnTo>
                <a:pt x="841391" y="4878948"/>
              </a:lnTo>
              <a:cubicBezTo>
                <a:pt x="392485" y="4878948"/>
                <a:pt x="28575" y="4838888"/>
                <a:pt x="28575" y="4389982"/>
              </a:cubicBezTo>
              <a:cubicBezTo>
                <a:pt x="28575" y="3306260"/>
                <a:pt x="0" y="1536737"/>
                <a:pt x="0" y="453015"/>
              </a:cubicBezTo>
              <a:close/>
            </a:path>
          </a:pathLst>
        </a:custGeom>
        <a:solidFill>
          <a:schemeClr val="bg2"/>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xdr:from>
      <xdr:col>15</xdr:col>
      <xdr:colOff>17318</xdr:colOff>
      <xdr:row>7</xdr:row>
      <xdr:rowOff>143945</xdr:rowOff>
    </xdr:from>
    <xdr:to>
      <xdr:col>15</xdr:col>
      <xdr:colOff>450273</xdr:colOff>
      <xdr:row>27</xdr:row>
      <xdr:rowOff>34636</xdr:rowOff>
    </xdr:to>
    <xdr:sp macro="" textlink="">
      <xdr:nvSpPr>
        <xdr:cNvPr id="3" name="Rectangle: Rounded Corners 2">
          <a:extLst>
            <a:ext uri="{FF2B5EF4-FFF2-40B4-BE49-F238E27FC236}">
              <a16:creationId xmlns:a16="http://schemas.microsoft.com/office/drawing/2014/main" id="{80B8857C-0C08-D7EE-D62D-284334413554}"/>
            </a:ext>
          </a:extLst>
        </xdr:cNvPr>
        <xdr:cNvSpPr/>
      </xdr:nvSpPr>
      <xdr:spPr>
        <a:xfrm>
          <a:off x="11338802454" y="1356218"/>
          <a:ext cx="432955" cy="3354327"/>
        </a:xfrm>
        <a:prstGeom prst="roundRect">
          <a:avLst/>
        </a:prstGeom>
        <a:solidFill>
          <a:schemeClr val="accent6">
            <a:lumMod val="60000"/>
            <a:lumOff val="40000"/>
          </a:schemeClr>
        </a:solidFill>
        <a:ln>
          <a:noFill/>
        </a:ln>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1" anchor="t"/>
        <a:lstStyle/>
        <a:p>
          <a:pPr algn="r" rtl="1"/>
          <a:endParaRPr lang="ar-EG" sz="1100"/>
        </a:p>
      </xdr:txBody>
    </xdr:sp>
    <xdr:clientData/>
  </xdr:twoCellAnchor>
  <xdr:oneCellAnchor>
    <xdr:from>
      <xdr:col>9</xdr:col>
      <xdr:colOff>429826</xdr:colOff>
      <xdr:row>1</xdr:row>
      <xdr:rowOff>45623</xdr:rowOff>
    </xdr:from>
    <xdr:ext cx="3529853" cy="468013"/>
    <xdr:sp macro="" textlink="">
      <xdr:nvSpPr>
        <xdr:cNvPr id="4" name="Rectangle 3">
          <a:extLst>
            <a:ext uri="{FF2B5EF4-FFF2-40B4-BE49-F238E27FC236}">
              <a16:creationId xmlns:a16="http://schemas.microsoft.com/office/drawing/2014/main" id="{27476ACA-E700-29B2-F3D9-650CD47075BA}"/>
            </a:ext>
          </a:extLst>
        </xdr:cNvPr>
        <xdr:cNvSpPr/>
      </xdr:nvSpPr>
      <xdr:spPr>
        <a:xfrm>
          <a:off x="11136888536" y="222516"/>
          <a:ext cx="3529853" cy="468013"/>
        </a:xfrm>
        <a:prstGeom prst="rect">
          <a:avLst/>
        </a:prstGeom>
        <a:noFill/>
      </xdr:spPr>
      <xdr:txBody>
        <a:bodyPr wrap="square" lIns="91440" tIns="45720" rIns="91440" bIns="45720">
          <a:spAutoFit/>
        </a:bodyPr>
        <a:lstStyle/>
        <a:p>
          <a:pPr algn="ctr"/>
          <a:r>
            <a:rPr lang="en-US" sz="2400" b="1" cap="none" spc="50" baseline="0">
              <a:ln w="9525" cmpd="sng">
                <a:solidFill>
                  <a:schemeClr val="accent1"/>
                </a:solidFill>
                <a:prstDash val="solid"/>
              </a:ln>
              <a:solidFill>
                <a:schemeClr val="accent6">
                  <a:lumMod val="40000"/>
                  <a:lumOff val="60000"/>
                </a:schemeClr>
              </a:solidFill>
              <a:effectLst>
                <a:glow rad="38100">
                  <a:schemeClr val="accent1">
                    <a:alpha val="40000"/>
                  </a:schemeClr>
                </a:glow>
              </a:effectLst>
            </a:rPr>
            <a:t>PIZZA ORDER ANALYSIS</a:t>
          </a:r>
          <a:endParaRPr lang="en-US" sz="2400" b="1" cap="none" spc="50">
            <a:ln w="9525" cmpd="sng">
              <a:solidFill>
                <a:schemeClr val="accent1"/>
              </a:solidFill>
              <a:prstDash val="solid"/>
            </a:ln>
            <a:solidFill>
              <a:schemeClr val="accent6">
                <a:lumMod val="40000"/>
                <a:lumOff val="60000"/>
              </a:schemeClr>
            </a:solidFill>
            <a:effectLst>
              <a:glow rad="38100">
                <a:schemeClr val="accent1">
                  <a:alpha val="40000"/>
                </a:schemeClr>
              </a:glow>
            </a:effectLst>
          </a:endParaRPr>
        </a:p>
      </xdr:txBody>
    </xdr:sp>
    <xdr:clientData/>
  </xdr:oneCellAnchor>
  <xdr:twoCellAnchor>
    <xdr:from>
      <xdr:col>11</xdr:col>
      <xdr:colOff>412068</xdr:colOff>
      <xdr:row>4</xdr:row>
      <xdr:rowOff>126612</xdr:rowOff>
    </xdr:from>
    <xdr:to>
      <xdr:col>14</xdr:col>
      <xdr:colOff>367393</xdr:colOff>
      <xdr:row>8</xdr:row>
      <xdr:rowOff>139040</xdr:rowOff>
    </xdr:to>
    <xdr:sp macro="" textlink="">
      <xdr:nvSpPr>
        <xdr:cNvPr id="5" name="Rectangle 4">
          <a:extLst>
            <a:ext uri="{FF2B5EF4-FFF2-40B4-BE49-F238E27FC236}">
              <a16:creationId xmlns:a16="http://schemas.microsoft.com/office/drawing/2014/main" id="{219BA530-6809-0825-E2EE-CCFA5CA675F2}"/>
            </a:ext>
          </a:extLst>
        </xdr:cNvPr>
        <xdr:cNvSpPr/>
      </xdr:nvSpPr>
      <xdr:spPr>
        <a:xfrm>
          <a:off x="11137079036" y="834183"/>
          <a:ext cx="1996396" cy="72000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xdr:from>
      <xdr:col>4</xdr:col>
      <xdr:colOff>150181</xdr:colOff>
      <xdr:row>4</xdr:row>
      <xdr:rowOff>106599</xdr:rowOff>
    </xdr:from>
    <xdr:to>
      <xdr:col>7</xdr:col>
      <xdr:colOff>107110</xdr:colOff>
      <xdr:row>8</xdr:row>
      <xdr:rowOff>119027</xdr:rowOff>
    </xdr:to>
    <xdr:sp macro="" textlink="">
      <xdr:nvSpPr>
        <xdr:cNvPr id="7" name="Rectangle 6">
          <a:extLst>
            <a:ext uri="{FF2B5EF4-FFF2-40B4-BE49-F238E27FC236}">
              <a16:creationId xmlns:a16="http://schemas.microsoft.com/office/drawing/2014/main" id="{D8A8FC96-C5FE-4A1B-AE0A-922A39A1C207}"/>
            </a:ext>
          </a:extLst>
        </xdr:cNvPr>
        <xdr:cNvSpPr/>
      </xdr:nvSpPr>
      <xdr:spPr>
        <a:xfrm>
          <a:off x="11142101819" y="814170"/>
          <a:ext cx="1998000" cy="7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xdr:from>
      <xdr:col>0</xdr:col>
      <xdr:colOff>538369</xdr:colOff>
      <xdr:row>4</xdr:row>
      <xdr:rowOff>109002</xdr:rowOff>
    </xdr:from>
    <xdr:to>
      <xdr:col>3</xdr:col>
      <xdr:colOff>518530</xdr:colOff>
      <xdr:row>8</xdr:row>
      <xdr:rowOff>120207</xdr:rowOff>
    </xdr:to>
    <xdr:sp macro="" textlink="">
      <xdr:nvSpPr>
        <xdr:cNvPr id="8" name="Rectangle 7">
          <a:extLst>
            <a:ext uri="{FF2B5EF4-FFF2-40B4-BE49-F238E27FC236}">
              <a16:creationId xmlns:a16="http://schemas.microsoft.com/office/drawing/2014/main" id="{BFE5AF30-B7B1-4C28-BE9E-4C1F4B05FF11}"/>
            </a:ext>
          </a:extLst>
        </xdr:cNvPr>
        <xdr:cNvSpPr/>
      </xdr:nvSpPr>
      <xdr:spPr>
        <a:xfrm>
          <a:off x="11305932557" y="826828"/>
          <a:ext cx="2050813" cy="72903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xdr:from>
      <xdr:col>7</xdr:col>
      <xdr:colOff>640041</xdr:colOff>
      <xdr:row>4</xdr:row>
      <xdr:rowOff>129011</xdr:rowOff>
    </xdr:from>
    <xdr:to>
      <xdr:col>10</xdr:col>
      <xdr:colOff>596970</xdr:colOff>
      <xdr:row>8</xdr:row>
      <xdr:rowOff>141439</xdr:rowOff>
    </xdr:to>
    <xdr:sp macro="" textlink="">
      <xdr:nvSpPr>
        <xdr:cNvPr id="9" name="Rectangle 8">
          <a:extLst>
            <a:ext uri="{FF2B5EF4-FFF2-40B4-BE49-F238E27FC236}">
              <a16:creationId xmlns:a16="http://schemas.microsoft.com/office/drawing/2014/main" id="{B90B9D92-19C4-4CEC-ACEA-032FF1028189}"/>
            </a:ext>
          </a:extLst>
        </xdr:cNvPr>
        <xdr:cNvSpPr/>
      </xdr:nvSpPr>
      <xdr:spPr>
        <a:xfrm>
          <a:off x="11139570888" y="836582"/>
          <a:ext cx="1998000" cy="7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twoCellAnchor editAs="oneCell">
    <xdr:from>
      <xdr:col>9</xdr:col>
      <xdr:colOff>8284</xdr:colOff>
      <xdr:row>1</xdr:row>
      <xdr:rowOff>96851</xdr:rowOff>
    </xdr:from>
    <xdr:to>
      <xdr:col>9</xdr:col>
      <xdr:colOff>414617</xdr:colOff>
      <xdr:row>3</xdr:row>
      <xdr:rowOff>144595</xdr:rowOff>
    </xdr:to>
    <xdr:pic>
      <xdr:nvPicPr>
        <xdr:cNvPr id="21" name="Picture 20">
          <a:extLst>
            <a:ext uri="{FF2B5EF4-FFF2-40B4-BE49-F238E27FC236}">
              <a16:creationId xmlns:a16="http://schemas.microsoft.com/office/drawing/2014/main" id="{9D8139EA-5323-6A7D-6A2D-E7484A0273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40433598" y="273744"/>
          <a:ext cx="406333" cy="401530"/>
        </a:xfrm>
        <a:prstGeom prst="rect">
          <a:avLst/>
        </a:prstGeom>
      </xdr:spPr>
    </xdr:pic>
    <xdr:clientData/>
  </xdr:twoCellAnchor>
  <xdr:twoCellAnchor editAs="oneCell">
    <xdr:from>
      <xdr:col>13</xdr:col>
      <xdr:colOff>312964</xdr:colOff>
      <xdr:row>4</xdr:row>
      <xdr:rowOff>162363</xdr:rowOff>
    </xdr:from>
    <xdr:to>
      <xdr:col>14</xdr:col>
      <xdr:colOff>228847</xdr:colOff>
      <xdr:row>8</xdr:row>
      <xdr:rowOff>33991</xdr:rowOff>
    </xdr:to>
    <xdr:pic>
      <xdr:nvPicPr>
        <xdr:cNvPr id="23" name="Picture 22">
          <a:extLst>
            <a:ext uri="{FF2B5EF4-FFF2-40B4-BE49-F238E27FC236}">
              <a16:creationId xmlns:a16="http://schemas.microsoft.com/office/drawing/2014/main" id="{FE80BF76-1B5C-AFB4-C09D-33C6589920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137217582" y="869934"/>
          <a:ext cx="596240" cy="579200"/>
        </a:xfrm>
        <a:prstGeom prst="rect">
          <a:avLst/>
        </a:prstGeom>
      </xdr:spPr>
    </xdr:pic>
    <xdr:clientData/>
  </xdr:twoCellAnchor>
  <xdr:twoCellAnchor editAs="oneCell">
    <xdr:from>
      <xdr:col>10</xdr:col>
      <xdr:colOff>2385</xdr:colOff>
      <xdr:row>5</xdr:row>
      <xdr:rowOff>27215</xdr:rowOff>
    </xdr:from>
    <xdr:to>
      <xdr:col>10</xdr:col>
      <xdr:colOff>585107</xdr:colOff>
      <xdr:row>8</xdr:row>
      <xdr:rowOff>80286</xdr:rowOff>
    </xdr:to>
    <xdr:pic>
      <xdr:nvPicPr>
        <xdr:cNvPr id="25" name="Picture 24">
          <a:extLst>
            <a:ext uri="{FF2B5EF4-FFF2-40B4-BE49-F238E27FC236}">
              <a16:creationId xmlns:a16="http://schemas.microsoft.com/office/drawing/2014/main" id="{C06D933A-E9D9-0870-B887-A869E2781F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39582751" y="911679"/>
          <a:ext cx="582722" cy="583750"/>
        </a:xfrm>
        <a:prstGeom prst="rect">
          <a:avLst/>
        </a:prstGeom>
      </xdr:spPr>
    </xdr:pic>
    <xdr:clientData/>
  </xdr:twoCellAnchor>
  <xdr:twoCellAnchor editAs="oneCell">
    <xdr:from>
      <xdr:col>6</xdr:col>
      <xdr:colOff>205562</xdr:colOff>
      <xdr:row>4</xdr:row>
      <xdr:rowOff>175586</xdr:rowOff>
    </xdr:from>
    <xdr:to>
      <xdr:col>7</xdr:col>
      <xdr:colOff>72365</xdr:colOff>
      <xdr:row>8</xdr:row>
      <xdr:rowOff>13606</xdr:rowOff>
    </xdr:to>
    <xdr:pic>
      <xdr:nvPicPr>
        <xdr:cNvPr id="27" name="Picture 26">
          <a:extLst>
            <a:ext uri="{FF2B5EF4-FFF2-40B4-BE49-F238E27FC236}">
              <a16:creationId xmlns:a16="http://schemas.microsoft.com/office/drawing/2014/main" id="{7DDDA861-424E-C7B7-CAC5-E1907DDC0C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142136564" y="883157"/>
          <a:ext cx="547160" cy="545592"/>
        </a:xfrm>
        <a:prstGeom prst="rect">
          <a:avLst/>
        </a:prstGeom>
      </xdr:spPr>
    </xdr:pic>
    <xdr:clientData/>
  </xdr:twoCellAnchor>
  <xdr:twoCellAnchor editAs="oneCell">
    <xdr:from>
      <xdr:col>2</xdr:col>
      <xdr:colOff>550751</xdr:colOff>
      <xdr:row>4</xdr:row>
      <xdr:rowOff>166341</xdr:rowOff>
    </xdr:from>
    <xdr:to>
      <xdr:col>3</xdr:col>
      <xdr:colOff>441615</xdr:colOff>
      <xdr:row>8</xdr:row>
      <xdr:rowOff>26505</xdr:rowOff>
    </xdr:to>
    <xdr:pic>
      <xdr:nvPicPr>
        <xdr:cNvPr id="29" name="Picture 28">
          <a:extLst>
            <a:ext uri="{FF2B5EF4-FFF2-40B4-BE49-F238E27FC236}">
              <a16:creationId xmlns:a16="http://schemas.microsoft.com/office/drawing/2014/main" id="{FE302BC6-D689-502E-C3C2-07689687C57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144488743" y="873912"/>
          <a:ext cx="571221" cy="567736"/>
        </a:xfrm>
        <a:prstGeom prst="rect">
          <a:avLst/>
        </a:prstGeom>
      </xdr:spPr>
    </xdr:pic>
    <xdr:clientData/>
  </xdr:twoCellAnchor>
  <xdr:twoCellAnchor>
    <xdr:from>
      <xdr:col>11</xdr:col>
      <xdr:colOff>423565</xdr:colOff>
      <xdr:row>6</xdr:row>
      <xdr:rowOff>137310</xdr:rowOff>
    </xdr:from>
    <xdr:to>
      <xdr:col>13</xdr:col>
      <xdr:colOff>122463</xdr:colOff>
      <xdr:row>8</xdr:row>
      <xdr:rowOff>95251</xdr:rowOff>
    </xdr:to>
    <xdr:sp macro="" textlink="Reports!$L$6">
      <xdr:nvSpPr>
        <xdr:cNvPr id="30" name="TextBox 29">
          <a:extLst>
            <a:ext uri="{FF2B5EF4-FFF2-40B4-BE49-F238E27FC236}">
              <a16:creationId xmlns:a16="http://schemas.microsoft.com/office/drawing/2014/main" id="{E6473BED-695A-6063-4B3E-EE10BCFB8F78}"/>
            </a:ext>
          </a:extLst>
        </xdr:cNvPr>
        <xdr:cNvSpPr txBox="1"/>
      </xdr:nvSpPr>
      <xdr:spPr>
        <a:xfrm>
          <a:off x="11138004323" y="1198667"/>
          <a:ext cx="1059612" cy="311727"/>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fld id="{C461E169-9881-4ECD-87B7-BA35345BF26C}" type="TxLink">
            <a:rPr lang="en-US" sz="1400" b="0" i="0" u="none" strike="noStrike">
              <a:solidFill>
                <a:srgbClr val="000000"/>
              </a:solidFill>
              <a:latin typeface="Aptos Slab Black" panose="020F0502020204030204" pitchFamily="34" charset="0"/>
              <a:cs typeface="Arial"/>
            </a:rPr>
            <a:pPr algn="ctr" rtl="1"/>
            <a:t>1004</a:t>
          </a:fld>
          <a:endParaRPr lang="ar-EG" sz="1400">
            <a:latin typeface="Aptos Slab Black" panose="020F0502020204030204" pitchFamily="34" charset="0"/>
          </a:endParaRPr>
        </a:p>
      </xdr:txBody>
    </xdr:sp>
    <xdr:clientData/>
  </xdr:twoCellAnchor>
  <xdr:twoCellAnchor>
    <xdr:from>
      <xdr:col>8</xdr:col>
      <xdr:colOff>60920</xdr:colOff>
      <xdr:row>6</xdr:row>
      <xdr:rowOff>138619</xdr:rowOff>
    </xdr:from>
    <xdr:to>
      <xdr:col>9</xdr:col>
      <xdr:colOff>137120</xdr:colOff>
      <xdr:row>8</xdr:row>
      <xdr:rowOff>77496</xdr:rowOff>
    </xdr:to>
    <xdr:sp macro="" textlink="Reports!$L$16">
      <xdr:nvSpPr>
        <xdr:cNvPr id="31" name="TextBox 30">
          <a:extLst>
            <a:ext uri="{FF2B5EF4-FFF2-40B4-BE49-F238E27FC236}">
              <a16:creationId xmlns:a16="http://schemas.microsoft.com/office/drawing/2014/main" id="{012BEEB1-F420-402A-A9AE-2D8A0226AC10}"/>
            </a:ext>
          </a:extLst>
        </xdr:cNvPr>
        <xdr:cNvSpPr txBox="1"/>
      </xdr:nvSpPr>
      <xdr:spPr>
        <a:xfrm>
          <a:off x="11140711095" y="1199976"/>
          <a:ext cx="756557" cy="2926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rtl="1"/>
          <a:fld id="{4FEC690D-AB6D-44AB-84A1-EE043D3073BB}" type="TxLink">
            <a:rPr lang="en-US" sz="1400" b="0" i="0" u="none" strike="noStrike">
              <a:solidFill>
                <a:srgbClr val="000000"/>
              </a:solidFill>
              <a:latin typeface="Aptos Slab Black" panose="020F0502020204030204" pitchFamily="34" charset="0"/>
              <a:ea typeface="+mn-ea"/>
              <a:cs typeface="Arial"/>
            </a:rPr>
            <a:pPr marL="0" indent="0" algn="ctr" rtl="1"/>
            <a:t>5</a:t>
          </a:fld>
          <a:endParaRPr lang="ar-EG" sz="1400" b="0" i="0" u="none" strike="noStrike">
            <a:solidFill>
              <a:srgbClr val="000000"/>
            </a:solidFill>
            <a:latin typeface="Aptos Slab Black" panose="020F0502020204030204" pitchFamily="34" charset="0"/>
            <a:ea typeface="+mn-ea"/>
            <a:cs typeface="Arial"/>
          </a:endParaRPr>
        </a:p>
      </xdr:txBody>
    </xdr:sp>
    <xdr:clientData/>
  </xdr:twoCellAnchor>
  <xdr:twoCellAnchor>
    <xdr:from>
      <xdr:col>4</xdr:col>
      <xdr:colOff>203557</xdr:colOff>
      <xdr:row>6</xdr:row>
      <xdr:rowOff>113879</xdr:rowOff>
    </xdr:from>
    <xdr:to>
      <xdr:col>5</xdr:col>
      <xdr:colOff>279756</xdr:colOff>
      <xdr:row>8</xdr:row>
      <xdr:rowOff>52756</xdr:rowOff>
    </xdr:to>
    <xdr:sp macro="" textlink="Reports!$L$9">
      <xdr:nvSpPr>
        <xdr:cNvPr id="32" name="TextBox 31">
          <a:extLst>
            <a:ext uri="{FF2B5EF4-FFF2-40B4-BE49-F238E27FC236}">
              <a16:creationId xmlns:a16="http://schemas.microsoft.com/office/drawing/2014/main" id="{AE27D673-872D-4DF8-94DC-E84C01966653}"/>
            </a:ext>
          </a:extLst>
        </xdr:cNvPr>
        <xdr:cNvSpPr txBox="1"/>
      </xdr:nvSpPr>
      <xdr:spPr>
        <a:xfrm>
          <a:off x="11143289887" y="1175236"/>
          <a:ext cx="756556" cy="2926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rtl="1"/>
          <a:fld id="{F90736AC-43F7-4C41-A41B-3AE9954EC0AB}" type="TxLink">
            <a:rPr lang="en-US" sz="1400" b="0" i="0" u="none" strike="noStrike">
              <a:solidFill>
                <a:srgbClr val="000000"/>
              </a:solidFill>
              <a:latin typeface="Aptos Slab Black" panose="020F0502020204030204" pitchFamily="34" charset="0"/>
              <a:ea typeface="+mn-ea"/>
              <a:cs typeface="Arial"/>
            </a:rPr>
            <a:pPr marL="0" indent="0" algn="ctr" rtl="1"/>
            <a:t>12</a:t>
          </a:fld>
          <a:endParaRPr lang="ar-EG" sz="1400" b="0" i="0" u="none" strike="noStrike">
            <a:solidFill>
              <a:srgbClr val="000000"/>
            </a:solidFill>
            <a:latin typeface="Aptos Slab Black" panose="020F0502020204030204" pitchFamily="34" charset="0"/>
            <a:ea typeface="+mn-ea"/>
            <a:cs typeface="Arial"/>
          </a:endParaRPr>
        </a:p>
      </xdr:txBody>
    </xdr:sp>
    <xdr:clientData/>
  </xdr:twoCellAnchor>
  <xdr:twoCellAnchor>
    <xdr:from>
      <xdr:col>0</xdr:col>
      <xdr:colOff>604507</xdr:colOff>
      <xdr:row>6</xdr:row>
      <xdr:rowOff>129013</xdr:rowOff>
    </xdr:from>
    <xdr:to>
      <xdr:col>2</xdr:col>
      <xdr:colOff>351</xdr:colOff>
      <xdr:row>8</xdr:row>
      <xdr:rowOff>67890</xdr:rowOff>
    </xdr:to>
    <xdr:sp macro="" textlink="Reports!$L$13">
      <xdr:nvSpPr>
        <xdr:cNvPr id="33" name="TextBox 32">
          <a:extLst>
            <a:ext uri="{FF2B5EF4-FFF2-40B4-BE49-F238E27FC236}">
              <a16:creationId xmlns:a16="http://schemas.microsoft.com/office/drawing/2014/main" id="{F6D51623-587C-4878-B168-5823C6E871FB}"/>
            </a:ext>
          </a:extLst>
        </xdr:cNvPr>
        <xdr:cNvSpPr txBox="1"/>
      </xdr:nvSpPr>
      <xdr:spPr>
        <a:xfrm>
          <a:off x="11145610364" y="1190370"/>
          <a:ext cx="756558" cy="2926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rtl="1"/>
          <a:fld id="{E723B587-1E0F-47C7-93B6-0200A482916D}" type="TxLink">
            <a:rPr lang="en-US" sz="1400" b="0" i="0" u="none" strike="noStrike">
              <a:solidFill>
                <a:srgbClr val="000000"/>
              </a:solidFill>
              <a:latin typeface="Aptos Slab Black" panose="020F0502020204030204" pitchFamily="34" charset="0"/>
              <a:ea typeface="+mn-ea"/>
              <a:cs typeface="Arial"/>
            </a:rPr>
            <a:pPr marL="0" indent="0" algn="ctr" rtl="1"/>
            <a:t>84</a:t>
          </a:fld>
          <a:endParaRPr lang="ar-EG" sz="1400" b="0" i="0" u="none" strike="noStrike">
            <a:solidFill>
              <a:srgbClr val="000000"/>
            </a:solidFill>
            <a:latin typeface="Aptos Slab Black" panose="020F0502020204030204" pitchFamily="34" charset="0"/>
            <a:ea typeface="+mn-ea"/>
            <a:cs typeface="Arial"/>
          </a:endParaRPr>
        </a:p>
      </xdr:txBody>
    </xdr:sp>
    <xdr:clientData/>
  </xdr:twoCellAnchor>
  <xdr:oneCellAnchor>
    <xdr:from>
      <xdr:col>11</xdr:col>
      <xdr:colOff>336320</xdr:colOff>
      <xdr:row>4</xdr:row>
      <xdr:rowOff>169835</xdr:rowOff>
    </xdr:from>
    <xdr:ext cx="1255715" cy="374141"/>
    <xdr:sp macro="" textlink="">
      <xdr:nvSpPr>
        <xdr:cNvPr id="34" name="Rectangle 33">
          <a:extLst>
            <a:ext uri="{FF2B5EF4-FFF2-40B4-BE49-F238E27FC236}">
              <a16:creationId xmlns:a16="http://schemas.microsoft.com/office/drawing/2014/main" id="{07458A37-AD8B-CD09-CF04-B43AEDD4011A}"/>
            </a:ext>
          </a:extLst>
        </xdr:cNvPr>
        <xdr:cNvSpPr/>
      </xdr:nvSpPr>
      <xdr:spPr>
        <a:xfrm>
          <a:off x="11137895465" y="877406"/>
          <a:ext cx="1255715"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Orders</a:t>
          </a:r>
        </a:p>
      </xdr:txBody>
    </xdr:sp>
    <xdr:clientData/>
  </xdr:oneCellAnchor>
  <xdr:oneCellAnchor>
    <xdr:from>
      <xdr:col>0</xdr:col>
      <xdr:colOff>583766</xdr:colOff>
      <xdr:row>4</xdr:row>
      <xdr:rowOff>126613</xdr:rowOff>
    </xdr:from>
    <xdr:ext cx="941845" cy="311496"/>
    <xdr:sp macro="" textlink="">
      <xdr:nvSpPr>
        <xdr:cNvPr id="35" name="Rectangle 34">
          <a:extLst>
            <a:ext uri="{FF2B5EF4-FFF2-40B4-BE49-F238E27FC236}">
              <a16:creationId xmlns:a16="http://schemas.microsoft.com/office/drawing/2014/main" id="{7A548758-700E-4C80-91D2-A93C62F2B5C2}"/>
            </a:ext>
          </a:extLst>
        </xdr:cNvPr>
        <xdr:cNvSpPr/>
      </xdr:nvSpPr>
      <xdr:spPr>
        <a:xfrm>
          <a:off x="11145445818" y="834184"/>
          <a:ext cx="941845" cy="311496"/>
        </a:xfrm>
        <a:prstGeom prst="rect">
          <a:avLst/>
        </a:prstGeom>
        <a:noFill/>
      </xdr:spPr>
      <xdr:txBody>
        <a:bodyPr wrap="square" lIns="91440" tIns="45720" rIns="91440" bIns="45720">
          <a:sp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Locations</a:t>
          </a:r>
        </a:p>
      </xdr:txBody>
    </xdr:sp>
    <xdr:clientData/>
  </xdr:oneCellAnchor>
  <xdr:oneCellAnchor>
    <xdr:from>
      <xdr:col>4</xdr:col>
      <xdr:colOff>109303</xdr:colOff>
      <xdr:row>4</xdr:row>
      <xdr:rowOff>115406</xdr:rowOff>
    </xdr:from>
    <xdr:ext cx="1115338" cy="311496"/>
    <xdr:sp macro="" textlink="">
      <xdr:nvSpPr>
        <xdr:cNvPr id="36" name="Rectangle 35">
          <a:extLst>
            <a:ext uri="{FF2B5EF4-FFF2-40B4-BE49-F238E27FC236}">
              <a16:creationId xmlns:a16="http://schemas.microsoft.com/office/drawing/2014/main" id="{CD84B615-8B85-47A0-87D6-44AD853C63F4}"/>
            </a:ext>
          </a:extLst>
        </xdr:cNvPr>
        <xdr:cNvSpPr/>
      </xdr:nvSpPr>
      <xdr:spPr>
        <a:xfrm>
          <a:off x="11143025359" y="822977"/>
          <a:ext cx="1115338" cy="311496"/>
        </a:xfrm>
        <a:prstGeom prst="rect">
          <a:avLst/>
        </a:prstGeom>
        <a:noFill/>
      </xdr:spPr>
      <xdr:txBody>
        <a:bodyPr wrap="square" lIns="91440" tIns="45720" rIns="91440" bIns="45720">
          <a:sp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pizza</a:t>
          </a:r>
          <a:r>
            <a:rPr lang="en-US" sz="1400" b="1" cap="none" spc="0" baseline="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 </a:t>
          </a:r>
          <a:r>
            <a:rPr lang="en-US" sz="1400" b="1" cap="none" spc="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type</a:t>
          </a:r>
        </a:p>
      </xdr:txBody>
    </xdr:sp>
    <xdr:clientData/>
  </xdr:oneCellAnchor>
  <xdr:oneCellAnchor>
    <xdr:from>
      <xdr:col>7</xdr:col>
      <xdr:colOff>647248</xdr:colOff>
      <xdr:row>4</xdr:row>
      <xdr:rowOff>174929</xdr:rowOff>
    </xdr:from>
    <xdr:ext cx="1066762" cy="311496"/>
    <xdr:sp macro="" textlink="">
      <xdr:nvSpPr>
        <xdr:cNvPr id="37" name="Rectangle 36">
          <a:extLst>
            <a:ext uri="{FF2B5EF4-FFF2-40B4-BE49-F238E27FC236}">
              <a16:creationId xmlns:a16="http://schemas.microsoft.com/office/drawing/2014/main" id="{19FDA23A-ED2C-48DB-9705-A46CBE630E2B}"/>
            </a:ext>
          </a:extLst>
        </xdr:cNvPr>
        <xdr:cNvSpPr/>
      </xdr:nvSpPr>
      <xdr:spPr>
        <a:xfrm>
          <a:off x="11140494919" y="882500"/>
          <a:ext cx="1066762" cy="311496"/>
        </a:xfrm>
        <a:prstGeom prst="rect">
          <a:avLst/>
        </a:prstGeom>
        <a:noFill/>
      </xdr:spPr>
      <xdr:txBody>
        <a:bodyPr wrap="square" lIns="91440" tIns="45720" rIns="91440" bIns="45720">
          <a:spAutoFit/>
        </a:bodyPr>
        <a:lstStyle/>
        <a:p>
          <a:pPr algn="ctr"/>
          <a:r>
            <a:rPr lang="en-US" sz="1400" b="1" cap="none" spc="0">
              <a:ln w="0"/>
              <a:solidFill>
                <a:schemeClr val="tx1"/>
              </a:solidFill>
              <a:effectLst>
                <a:outerShdw blurRad="38100" dist="19050" dir="2700000" algn="tl" rotWithShape="0">
                  <a:schemeClr val="dk1">
                    <a:alpha val="40000"/>
                  </a:schemeClr>
                </a:outerShdw>
              </a:effectLst>
              <a:latin typeface="ADLaM Display" panose="020F0502020204030204" pitchFamily="2" charset="0"/>
              <a:ea typeface="ADLaM Display" panose="020F0502020204030204" pitchFamily="2" charset="0"/>
              <a:cs typeface="ADLaM Display" panose="020F0502020204030204" pitchFamily="2" charset="0"/>
            </a:rPr>
            <a:t>Restaurant</a:t>
          </a:r>
        </a:p>
      </xdr:txBody>
    </xdr:sp>
    <xdr:clientData/>
  </xdr:oneCellAnchor>
  <xdr:twoCellAnchor>
    <xdr:from>
      <xdr:col>11</xdr:col>
      <xdr:colOff>207817</xdr:colOff>
      <xdr:row>9</xdr:row>
      <xdr:rowOff>17318</xdr:rowOff>
    </xdr:from>
    <xdr:to>
      <xdr:col>14</xdr:col>
      <xdr:colOff>435428</xdr:colOff>
      <xdr:row>21</xdr:row>
      <xdr:rowOff>17318</xdr:rowOff>
    </xdr:to>
    <xdr:graphicFrame macro="">
      <xdr:nvGraphicFramePr>
        <xdr:cNvPr id="38" name="Chart 37">
          <a:extLst>
            <a:ext uri="{FF2B5EF4-FFF2-40B4-BE49-F238E27FC236}">
              <a16:creationId xmlns:a16="http://schemas.microsoft.com/office/drawing/2014/main" id="{BAD8FC5B-BF61-485E-BC8C-3EFA37C76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529444</xdr:colOff>
      <xdr:row>19</xdr:row>
      <xdr:rowOff>95251</xdr:rowOff>
    </xdr:from>
    <xdr:to>
      <xdr:col>3</xdr:col>
      <xdr:colOff>606136</xdr:colOff>
      <xdr:row>31</xdr:row>
      <xdr:rowOff>51956</xdr:rowOff>
    </xdr:to>
    <xdr:graphicFrame macro="">
      <xdr:nvGraphicFramePr>
        <xdr:cNvPr id="41" name="Chart 40">
          <a:extLst>
            <a:ext uri="{FF2B5EF4-FFF2-40B4-BE49-F238E27FC236}">
              <a16:creationId xmlns:a16="http://schemas.microsoft.com/office/drawing/2014/main" id="{545B05BB-B8C4-4162-B6C9-2C408251A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529442</xdr:colOff>
      <xdr:row>9</xdr:row>
      <xdr:rowOff>17320</xdr:rowOff>
    </xdr:from>
    <xdr:to>
      <xdr:col>3</xdr:col>
      <xdr:colOff>623454</xdr:colOff>
      <xdr:row>19</xdr:row>
      <xdr:rowOff>54430</xdr:rowOff>
    </xdr:to>
    <xdr:graphicFrame macro="">
      <xdr:nvGraphicFramePr>
        <xdr:cNvPr id="42" name="Chart 41">
          <a:extLst>
            <a:ext uri="{FF2B5EF4-FFF2-40B4-BE49-F238E27FC236}">
              <a16:creationId xmlns:a16="http://schemas.microsoft.com/office/drawing/2014/main" id="{FEE0AE20-6E14-4988-B568-A90A8DB5A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639537</xdr:colOff>
      <xdr:row>9</xdr:row>
      <xdr:rowOff>17319</xdr:rowOff>
    </xdr:from>
    <xdr:to>
      <xdr:col>11</xdr:col>
      <xdr:colOff>190500</xdr:colOff>
      <xdr:row>19</xdr:row>
      <xdr:rowOff>68036</xdr:rowOff>
    </xdr:to>
    <xdr:graphicFrame macro="">
      <xdr:nvGraphicFramePr>
        <xdr:cNvPr id="43" name="Chart 42">
          <a:extLst>
            <a:ext uri="{FF2B5EF4-FFF2-40B4-BE49-F238E27FC236}">
              <a16:creationId xmlns:a16="http://schemas.microsoft.com/office/drawing/2014/main" id="{1214BBC8-5AA0-48F4-8784-F410AD6CD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190498</xdr:colOff>
      <xdr:row>21</xdr:row>
      <xdr:rowOff>28449</xdr:rowOff>
    </xdr:from>
    <xdr:to>
      <xdr:col>14</xdr:col>
      <xdr:colOff>435429</xdr:colOff>
      <xdr:row>31</xdr:row>
      <xdr:rowOff>54428</xdr:rowOff>
    </xdr:to>
    <xdr:graphicFrame macro="">
      <xdr:nvGraphicFramePr>
        <xdr:cNvPr id="44" name="Chart 43">
          <a:extLst>
            <a:ext uri="{FF2B5EF4-FFF2-40B4-BE49-F238E27FC236}">
              <a16:creationId xmlns:a16="http://schemas.microsoft.com/office/drawing/2014/main" id="{825FD5D7-FAD2-42C2-A8CD-EB8FF1AA1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639538</xdr:colOff>
      <xdr:row>19</xdr:row>
      <xdr:rowOff>95251</xdr:rowOff>
    </xdr:from>
    <xdr:to>
      <xdr:col>11</xdr:col>
      <xdr:colOff>173181</xdr:colOff>
      <xdr:row>31</xdr:row>
      <xdr:rowOff>51956</xdr:rowOff>
    </xdr:to>
    <xdr:graphicFrame macro="">
      <xdr:nvGraphicFramePr>
        <xdr:cNvPr id="45" name="Chart 44">
          <a:extLst>
            <a:ext uri="{FF2B5EF4-FFF2-40B4-BE49-F238E27FC236}">
              <a16:creationId xmlns:a16="http://schemas.microsoft.com/office/drawing/2014/main" id="{DD953320-AFE9-40F8-AB2B-8D9397FB6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520582</xdr:colOff>
      <xdr:row>1</xdr:row>
      <xdr:rowOff>77562</xdr:rowOff>
    </xdr:from>
    <xdr:to>
      <xdr:col>8</xdr:col>
      <xdr:colOff>188567</xdr:colOff>
      <xdr:row>3</xdr:row>
      <xdr:rowOff>138043</xdr:rowOff>
    </xdr:to>
    <mc:AlternateContent xmlns:mc="http://schemas.openxmlformats.org/markup-compatibility/2006">
      <mc:Choice xmlns:a14="http://schemas.microsoft.com/office/drawing/2010/main" Requires="a14">
        <xdr:graphicFrame macro="">
          <xdr:nvGraphicFramePr>
            <xdr:cNvPr id="46" name="Is Weekend 1">
              <a:extLst>
                <a:ext uri="{FF2B5EF4-FFF2-40B4-BE49-F238E27FC236}">
                  <a16:creationId xmlns:a16="http://schemas.microsoft.com/office/drawing/2014/main" id="{758ACE2F-7EEF-45F2-B7C5-AB644C471CA9}"/>
                </a:ext>
              </a:extLst>
            </xdr:cNvPr>
            <xdr:cNvGraphicFramePr/>
          </xdr:nvGraphicFramePr>
          <xdr:xfrm>
            <a:off x="0" y="0"/>
            <a:ext cx="0" cy="0"/>
          </xdr:xfrm>
          <a:graphic>
            <a:graphicData uri="http://schemas.microsoft.com/office/drawing/2010/slicer">
              <sle:slicer xmlns:sle="http://schemas.microsoft.com/office/drawing/2010/slicer" name="Is Weekend 1"/>
            </a:graphicData>
          </a:graphic>
        </xdr:graphicFrame>
      </mc:Choice>
      <mc:Fallback>
        <xdr:sp macro="" textlink="">
          <xdr:nvSpPr>
            <xdr:cNvPr id="0" name=""/>
            <xdr:cNvSpPr>
              <a:spLocks noTextEdit="1"/>
            </xdr:cNvSpPr>
          </xdr:nvSpPr>
          <xdr:spPr>
            <a:xfrm>
              <a:off x="11302811433" y="257019"/>
              <a:ext cx="1738637" cy="41939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658587</xdr:colOff>
      <xdr:row>1</xdr:row>
      <xdr:rowOff>80282</xdr:rowOff>
    </xdr:from>
    <xdr:to>
      <xdr:col>5</xdr:col>
      <xdr:colOff>446315</xdr:colOff>
      <xdr:row>3</xdr:row>
      <xdr:rowOff>142875</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21329173-E2C9-EE4C-B579-9D455FF3E8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304624337" y="259739"/>
              <a:ext cx="1858380" cy="42150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6666664" backgroundQuery="1" createdVersion="8" refreshedVersion="8" minRefreshableVersion="3" recordCount="0" supportSubquery="1" supportAdvancedDrill="1" xr:uid="{B01E436B-35F5-45CE-B51D-5E4E5FD39306}">
  <cacheSource type="external" connectionId="2"/>
  <cacheFields count="4">
    <cacheField name="[Sheet1].[Location].[Location]" caption="Location" numFmtId="0" hierarchy="2" level="1">
      <sharedItems count="10">
        <s v="Albuquerque, NM"/>
        <s v="Atlanta, GA"/>
        <s v="Boston, MA"/>
        <s v="Chicago, IL"/>
        <s v="Dallas, TX"/>
        <s v="Denver, CO"/>
        <s v="Louisville, KY"/>
        <s v="Miami, FL"/>
        <s v="Milwaukee, WI"/>
        <s v="Omaha, NE"/>
      </sharedItems>
    </cacheField>
    <cacheField name="[Measures].[Orders]" caption="Orders" numFmtId="0" hierarchy="26" level="32767"/>
    <cacheField name="[Sheet1].[Order Month].[Order Month]" caption="Order Month" numFmtId="0" hierarchy="15" level="1">
      <sharedItems count="12">
        <s v="April"/>
        <s v="August"/>
        <s v="December"/>
        <s v="February"/>
        <s v="January"/>
        <s v="July"/>
        <s v="June"/>
        <s v="March"/>
        <s v="May"/>
        <s v="November"/>
        <s v="October"/>
        <s v="September"/>
      </sharedItems>
    </cacheField>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2" memberValueDatatype="130" unbalanced="0"/>
    <cacheHierarchy uniqueName="[Sheet1].[Restaurant Name]" caption="Restaurant Name" attribute="1" defaultMemberUniqueName="[Sheet1].[Restaurant Name].[All]" allUniqueName="[Sheet1].[Restaurant Na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Order Time]" caption="Order Time" attribute="1" time="1" defaultMemberUniqueName="[Sheet1].[Order Time].[All]" allUniqueName="[Sheet1].[Order Time].[All]" dimensionUniqueName="[Sheet1]" displayFolder="" count="2" memberValueDatatype="7" unbalanced="0"/>
    <cacheHierarchy uniqueName="[Sheet1].[Delivery Time]" caption="Delivery Time" attribute="1" time="1" defaultMemberUniqueName="[Sheet1].[Delivery Time].[All]" allUniqueName="[Sheet1].[Delivery Time].[All]" dimensionUniqueName="[Sheet1]" displayFolder="" count="2" memberValueDatatype="7" unbalanced="0"/>
    <cacheHierarchy uniqueName="[Sheet1].[Pizza Size]" caption="Pizza Size" attribute="1" defaultMemberUniqueName="[Sheet1].[Pizza Size].[All]" allUniqueName="[Sheet1].[Pizza Size].[All]" dimensionUniqueName="[Sheet1]" displayFolder="" count="2" memberValueDatatype="130" unbalanced="0"/>
    <cacheHierarchy uniqueName="[Sheet1].[Pizza Type]" caption="Pizza Type" attribute="1" defaultMemberUniqueName="[Sheet1].[Pizza Type].[All]" allUniqueName="[Sheet1].[Pizza Type].[All]" dimensionUniqueName="[Sheet1]" displayFolder="" count="2" memberValueDatatype="130" unbalanced="0"/>
    <cacheHierarchy uniqueName="[Sheet1].[Toppings Count]" caption="Toppings Count" attribute="1" defaultMemberUniqueName="[Sheet1].[Toppings Count].[All]" allUniqueName="[Sheet1].[Toppings Count].[All]" dimensionUniqueName="[Sheet1]" displayFolder="" count="2" memberValueDatatype="20" unbalanced="0"/>
    <cacheHierarchy uniqueName="[Sheet1].[Distance (km)]" caption="Distance (km)" attribute="1" defaultMemberUniqueName="[Sheet1].[Distance (km)].[All]" allUniqueName="[Sheet1].[Distance (km)].[All]" dimensionUniqueName="[Sheet1]" displayFolder="" count="2" memberValueDatatype="5" unbalanced="0"/>
    <cacheHierarchy uniqueName="[Sheet1].[Traffic Level]" caption="Traffic Level" attribute="1" defaultMemberUniqueName="[Sheet1].[Traffic Level].[All]" allUniqueName="[Sheet1].[Traffic Level].[All]" dimensionUniqueName="[Sheet1]" displayFolder="" count="2"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cacheHierarchy uniqueName="[Sheet1].[Is Peak Hour]" caption="Is Peak Hour" attribute="1" defaultMemberUniqueName="[Sheet1].[Is Peak Hour].[All]" allUniqueName="[Sheet1].[Is Peak Hour].[All]" dimensionUniqueName="[Sheet1]" displayFolder="" count="2"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2" memberValueDatatype="5" unbalanced="0"/>
    <cacheHierarchy uniqueName="[Sheet1].[Topping Density]" caption="Topping Density" attribute="1" defaultMemberUniqueName="[Sheet1].[Topping Density].[All]" allUniqueName="[Sheet1].[Topping Density].[All]" dimensionUniqueName="[Sheet1]" displayFolder="" count="2" memberValueDatatype="5" unbalanced="0"/>
    <cacheHierarchy uniqueName="[Sheet1].[Order Month]" caption="Order Month" attribute="1" defaultMemberUniqueName="[Sheet1].[Order Month].[All]" allUniqueName="[Sheet1].[Order Month].[All]" dimensionUniqueName="[Sheet1]" displayFolder="" count="2" memberValueDatatype="130" unbalanced="0">
      <fieldsUsage count="2">
        <fieldUsage x="-1"/>
        <fieldUsage x="2"/>
      </fieldsUsage>
    </cacheHierarchy>
    <cacheHierarchy uniqueName="[Sheet1].[Payment Category]" caption="Payment Category" attribute="1" defaultMemberUniqueName="[Sheet1].[Payment Category].[All]" allUniqueName="[Sheet1].[Payment Category].[All]" dimensionUniqueName="[Sheet1]" displayFolder="" count="2" memberValueDatatype="130" unbalanced="0"/>
    <cacheHierarchy uniqueName="[Sheet1].[Cycle Duration (min)]" caption="Cycle Duration (min)" attribute="1" defaultMemberUniqueName="[Sheet1].[Cycle Duration (min)].[All]" allUniqueName="[Sheet1].[Cycle Duration (min)].[All]" dimensionUniqueName="[Sheet1]" displayFolder="" count="2" memberValueDatatype="20" unbalanced="0"/>
    <cacheHierarchy uniqueName="[Sheet1].[Estimated Duration (min)]" caption="Estimated Duration (min)" attribute="1" defaultMemberUniqueName="[Sheet1].[Estimated Duration (min)].[All]" allUniqueName="[Sheet1].[Estimated Duration (min)].[All]" dimensionUniqueName="[Sheet1]" displayFolder="" count="2" memberValueDatatype="5" unbalanced="0"/>
    <cacheHierarchy uniqueName="[Sheet1].[Delay (min)]" caption="Delay (min)" attribute="1" defaultMemberUniqueName="[Sheet1].[Delay (min)].[All]" allUniqueName="[Sheet1].[Delay (min)].[All]" dimensionUniqueName="[Sheet1]" displayFolder="" count="2" memberValueDatatype="5" unbalanced="0"/>
    <cacheHierarchy uniqueName="[Sheet1].[Is Delayed]" caption="Is Delayed" attribute="1" defaultMemberUniqueName="[Sheet1].[Is Delayed].[All]" allUniqueName="[Sheet1].[Is Delayed].[All]" dimensionUniqueName="[Sheet1]" displayFolder="" count="2" memberValueDatatype="130" unbalanced="0"/>
    <cacheHierarchy uniqueName="[Sheet1].[Pizza Complexity]" caption="Pizza Complexity" attribute="1" defaultMemberUniqueName="[Sheet1].[Pizza Complexity].[All]" allUniqueName="[Sheet1].[Pizza Complexity].[All]" dimensionUniqueName="[Sheet1]" displayFolder="" count="2" memberValueDatatype="20" unbalanced="0"/>
    <cacheHierarchy uniqueName="[Sheet1].[Traffic Impact]" caption="Traffic Impact" attribute="1" defaultMemberUniqueName="[Sheet1].[Traffic Impact].[All]" allUniqueName="[Sheet1].[Traffic Impact].[All]" dimensionUniqueName="[Sheet1]" displayFolder="" count="2" memberValueDatatype="20" unbalanced="0"/>
    <cacheHierarchy uniqueName="[Sheet1].[Order Hour]" caption="Order Hour" attribute="1" defaultMemberUniqueName="[Sheet1].[Order Hour].[All]" allUniqueName="[Sheet1].[Order Hour].[All]" dimensionUniqueName="[Sheet1]" displayFolder="" count="2" memberValueDatatype="20" unbalanced="0"/>
    <cacheHierarchy uniqueName="[Sheet1].[Restaurant Avg Time]" caption="Restaurant Avg Time" attribute="1" defaultMemberUniqueName="[Sheet1].[Restaurant Avg Time].[All]" allUniqueName="[Sheet1].[Restaurant Avg Time].[All]" dimensionUniqueName="[Sheet1]" displayFolder="" count="2"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Measures].[Orders]" caption="Orders" measure="1" displayFolder="" measureGroup="Sheet1" count="0" oneField="1">
      <fieldsUsage count="1">
        <fieldUsage x="1"/>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7245372" backgroundQuery="1" createdVersion="8" refreshedVersion="8" minRefreshableVersion="3" recordCount="0" supportSubquery="1" supportAdvancedDrill="1" xr:uid="{CAFA651F-742C-4025-AB76-219EAA3B4A92}">
  <cacheSource type="external" connectionId="2"/>
  <cacheFields count="4">
    <cacheField name="[Sheet1].[Location].[Location]" caption="Location" numFmtId="0" hierarchy="2" level="1">
      <sharedItems count="10">
        <s v="Albuquerque, NM"/>
        <s v="Atlanta, GA"/>
        <s v="Boston, MA"/>
        <s v="Chicago, IL"/>
        <s v="Dallas, TX"/>
        <s v="Denver, CO"/>
        <s v="Louisville, KY"/>
        <s v="Miami, FL"/>
        <s v="Milwaukee, WI"/>
        <s v="Omaha, NE"/>
      </sharedItems>
    </cacheField>
    <cacheField name="[Sheet1].[Payment Method].[Payment Method]" caption="Payment Method" numFmtId="0" hierarchy="10" level="1">
      <sharedItems count="6">
        <s v="Card"/>
        <s v="Cash"/>
        <s v="Domino's Cash"/>
        <s v="Hut Points"/>
        <s v="UPI"/>
        <s v="Wallet"/>
      </sharedItems>
    </cacheField>
    <cacheField name="[Measures].[Orders]" caption="Orders" numFmtId="0" hierarchy="26" level="32767"/>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2" memberValueDatatype="130" unbalanced="0">
      <fieldsUsage count="2">
        <fieldUsage x="-1"/>
        <fieldUsage x="1"/>
      </fieldsUsage>
    </cacheHierarchy>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Measures].[Orders]" caption="Orders" measure="1" displayFolder="" measureGroup="Sheet1" count="0" oneField="1">
      <fieldsUsage count="1">
        <fieldUsage x="2"/>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7245372" backgroundQuery="1" createdVersion="8" refreshedVersion="8" minRefreshableVersion="3" recordCount="0" supportSubquery="1" supportAdvancedDrill="1" xr:uid="{F929212F-1D49-492A-BA1F-5BD0C1719230}">
  <cacheSource type="external" connectionId="2"/>
  <cacheFields count="2">
    <cacheField name="[Measures].[Orders]" caption="Orders" numFmtId="0" hierarchy="26" level="32767"/>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Measures].[Orders]" caption="Orders" measure="1" displayFolder="" measureGroup="Sheet1" count="0" oneField="1">
      <fieldsUsage count="1">
        <fieldUsage x="0"/>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7361111" backgroundQuery="1" createdVersion="8" refreshedVersion="8" minRefreshableVersion="3" recordCount="0" supportSubquery="1" supportAdvancedDrill="1" xr:uid="{8E89B703-FC40-4BC9-AA25-B37FA602F8A0}">
  <cacheSource type="external" connectionId="2"/>
  <cacheFields count="2">
    <cacheField name="[Measures].[pizza_type]" caption="pizza_type" numFmtId="0" hierarchy="27" level="32767"/>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Measures].[Orders]" caption="Orders" measure="1" displayFolder="" measureGroup="Sheet1" count="0"/>
    <cacheHierarchy uniqueName="[Measures].[pizza_type]" caption="pizza_type" measure="1" displayFolder="" measureGroup="Sheet1" count="0" oneField="1">
      <fieldsUsage count="1">
        <fieldUsage x="0"/>
      </fieldsUsage>
    </cacheHierarchy>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7592595" backgroundQuery="1" createdVersion="8" refreshedVersion="8" minRefreshableVersion="3" recordCount="0" supportSubquery="1" supportAdvancedDrill="1" xr:uid="{C8370990-E13A-483B-8FEE-E305E0DA2E1F}">
  <cacheSource type="external" connectionId="2"/>
  <cacheFields count="2">
    <cacheField name="[Measures].[Locations]" caption="Locations" numFmtId="0" hierarchy="28" level="32767"/>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Measures].[Orders]" caption="Orders" measure="1" displayFolder="" measureGroup="Sheet1" count="0"/>
    <cacheHierarchy uniqueName="[Measures].[pizza_type]" caption="pizza_type" measure="1" displayFolder="" measureGroup="Sheet1" count="0"/>
    <cacheHierarchy uniqueName="[Measures].[Locations]" caption="Locations" measure="1" displayFolder="" measureGroup="Sheet1" count="0" oneField="1">
      <fieldsUsage count="1">
        <fieldUsage x="0"/>
      </fieldsUsage>
    </cacheHierarchy>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7592595" backgroundQuery="1" createdVersion="8" refreshedVersion="8" minRefreshableVersion="3" recordCount="0" supportSubquery="1" supportAdvancedDrill="1" xr:uid="{2623DAFE-6749-402A-8CF1-CFF5CB123C56}">
  <cacheSource type="external" connectionId="2"/>
  <cacheFields count="2">
    <cacheField name="[Measures].[Restaurant]" caption="Restaurant" numFmtId="0" hierarchy="29" level="32767"/>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1"/>
      </fieldsUsage>
    </cacheHierarchy>
    <cacheHierarchy uniqueName="[Measures].[Orders]" caption="Orders" measure="1" displayFolder="" measureGroup="Sheet1" count="0"/>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oneField="1">
      <fieldsUsage count="1">
        <fieldUsage x="0"/>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8055557" backgroundQuery="1" createdVersion="8" refreshedVersion="8" minRefreshableVersion="3" recordCount="0" supportSubquery="1" supportAdvancedDrill="1" xr:uid="{29CD0C8D-0B4C-480B-98F3-9C36375749BE}">
  <cacheSource type="external" connectionId="2"/>
  <cacheFields count="3">
    <cacheField name="[Measures].[Orders]" caption="Orders" numFmtId="0" hierarchy="26" level="32767"/>
    <cacheField name="[Sheet1].[Restaurant Name].[Restaurant Name]" caption="Restaurant Name" numFmtId="0" hierarchy="1" level="1">
      <sharedItems count="5">
        <s v="Domino's"/>
        <s v="Little Caesars"/>
        <s v="Marco's Pizza"/>
        <s v="Papa John's"/>
        <s v="Pizza Hut"/>
      </sharedItems>
    </cacheField>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2" memberValueDatatype="130" unbalanced="0">
      <fieldsUsage count="2">
        <fieldUsage x="-1"/>
        <fieldUsage x="1"/>
      </fieldsUsage>
    </cacheHierarchy>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Measures].[Orders]" caption="Orders" measure="1" displayFolder="" measureGroup="Sheet1" count="0" oneField="1">
      <fieldsUsage count="1">
        <fieldUsage x="0"/>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8518519" backgroundQuery="1" createdVersion="8" refreshedVersion="8" minRefreshableVersion="3" recordCount="0" supportSubquery="1" supportAdvancedDrill="1" xr:uid="{3B328B45-30D4-458C-AF94-276CD6DD4D3B}">
  <cacheSource type="external" connectionId="2"/>
  <cacheFields count="3">
    <cacheField name="[Measures].[Orders]" caption="Orders" numFmtId="0" hierarchy="26" level="32767"/>
    <cacheField name="[Sheet1].[Location].[Location]" caption="Location" numFmtId="0" hierarchy="2" level="1">
      <sharedItems count="10">
        <s v="Albuquerque, NM"/>
        <s v="Atlanta, GA"/>
        <s v="Boston, MA"/>
        <s v="Chicago, IL"/>
        <s v="Dallas, TX"/>
        <s v="Denver, CO"/>
        <s v="Louisville, KY"/>
        <s v="Miami, FL"/>
        <s v="Milwaukee, WI"/>
        <s v="Omaha, NE"/>
      </sharedItems>
    </cacheField>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2"/>
      </fieldsUsage>
    </cacheHierarchy>
    <cacheHierarchy uniqueName="[Measures].[Orders]" caption="Orders" measure="1" displayFolder="" measureGroup="Sheet1" count="0" oneField="1">
      <fieldsUsage count="1">
        <fieldUsage x="0"/>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8865742" backgroundQuery="1" createdVersion="8" refreshedVersion="8" minRefreshableVersion="3" recordCount="0" supportSubquery="1" supportAdvancedDrill="1" xr:uid="{259460D5-EC93-4E66-B441-2A692C6DEF8C}">
  <cacheSource type="external" connectionId="2"/>
  <cacheFields count="4">
    <cacheField name="[Measures].[Orders]" caption="Orders" numFmtId="0" hierarchy="26" level="32767"/>
    <cacheField name="[Sheet1].[Location].[Location]" caption="Location" numFmtId="0" hierarchy="2" level="1">
      <sharedItems count="10">
        <s v="Albuquerque, NM"/>
        <s v="Atlanta, GA"/>
        <s v="Boston, MA"/>
        <s v="Chicago, IL"/>
        <s v="Dallas, TX"/>
        <s v="Denver, CO"/>
        <s v="Louisville, KY"/>
        <s v="Miami, FL"/>
        <s v="Milwaukee, WI"/>
        <s v="Omaha, NE"/>
      </sharedItems>
    </cacheField>
    <cacheField name="[Sheet1].[Pizza Type].[Pizza Type]" caption="Pizza Type" numFmtId="0" hierarchy="6" level="1">
      <sharedItems count="12">
        <s v="BBQ Chicken"/>
        <s v="Cheese Burst"/>
        <s v="Deep Dish"/>
        <s v="Gluten-Free"/>
        <s v="Margarita"/>
        <s v="Non-Veg"/>
        <s v="Sicilian"/>
        <s v="Stuffed Crust"/>
        <s v="Thai Chicken"/>
        <s v="Thin Crust"/>
        <s v="Veg"/>
        <s v="Vegan"/>
      </sharedItems>
    </cacheField>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2" memberValueDatatype="130" unbalanced="0">
      <fieldsUsage count="2">
        <fieldUsage x="-1"/>
        <fieldUsage x="2"/>
      </fieldsUsage>
    </cacheHierarchy>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Measures].[Orders]" caption="Orders" measure="1" displayFolder="" measureGroup="Sheet1" count="0" oneField="1">
      <fieldsUsage count="1">
        <fieldUsage x="0"/>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23069212965" backgroundQuery="1" createdVersion="8" refreshedVersion="8" minRefreshableVersion="3" recordCount="0" supportSubquery="1" supportAdvancedDrill="1" xr:uid="{371EB365-2AD8-4FBC-8B04-B671B9C0F146}">
  <cacheSource type="external" connectionId="2"/>
  <cacheFields count="4">
    <cacheField name="[Measures].[Orders]" caption="Orders" numFmtId="0" hierarchy="26" level="32767"/>
    <cacheField name="[Sheet1].[Location].[Location]" caption="Location" numFmtId="0" hierarchy="2" level="1">
      <sharedItems count="10">
        <s v="Albuquerque, NM"/>
        <s v="Atlanta, GA"/>
        <s v="Boston, MA"/>
        <s v="Chicago, IL"/>
        <s v="Dallas, TX"/>
        <s v="Denver, CO"/>
        <s v="Louisville, KY"/>
        <s v="Miami, FL"/>
        <s v="Milwaukee, WI"/>
        <s v="Omaha, NE"/>
      </sharedItems>
    </cacheField>
    <cacheField name="[Sheet1].[Pizza Size].[Pizza Size]" caption="Pizza Size" numFmtId="0" hierarchy="5" level="1">
      <sharedItems count="4">
        <s v="Large"/>
        <s v="Medium"/>
        <s v="Small"/>
        <s v="XLarge"/>
      </sharedItems>
    </cacheField>
    <cacheField name="[Sheet1].[year].[year]" caption="year" numFmtId="0" hierarchy="25" level="1">
      <sharedItems containsSemiMixedTypes="0" containsNonDate="0" containsString="0"/>
    </cacheField>
  </cacheFields>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1"/>
      </fieldsUsage>
    </cacheHierarchy>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2" memberValueDatatype="130" unbalanced="0">
      <fieldsUsage count="2">
        <fieldUsage x="-1"/>
        <fieldUsage x="2"/>
      </fieldsUsage>
    </cacheHierarchy>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fieldsUsage count="2">
        <fieldUsage x="-1"/>
        <fieldUsage x="3"/>
      </fieldsUsage>
    </cacheHierarchy>
    <cacheHierarchy uniqueName="[Measures].[Orders]" caption="Orders" measure="1" displayFolder="" measureGroup="Sheet1" count="0" oneField="1">
      <fieldsUsage count="1">
        <fieldUsage x="0"/>
      </fieldsUsage>
    </cacheHierarchy>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287.310919097225" backgroundQuery="1" createdVersion="3" refreshedVersion="8" minRefreshableVersion="3" recordCount="0" supportSubquery="1" supportAdvancedDrill="1" xr:uid="{7304D161-3DF3-4944-96B1-E86C07FF88C8}">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Sheet1].[Order ID]" caption="Order ID" attribute="1" defaultMemberUniqueName="[Sheet1].[Order ID].[All]" allUniqueName="[Sheet1].[Order ID].[All]" dimensionUniqueName="[Sheet1]" displayFolder="" count="0" memberValueDatatype="130" unbalanced="0"/>
    <cacheHierarchy uniqueName="[Sheet1].[Restaurant Name]" caption="Restaurant Name" attribute="1" defaultMemberUniqueName="[Sheet1].[Restaurant Name].[All]" allUniqueName="[Sheet1].[Restaurant 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Order Time]" caption="Order Time" attribute="1" time="1" defaultMemberUniqueName="[Sheet1].[Order Time].[All]" allUniqueName="[Sheet1].[Order Time].[All]" dimensionUniqueName="[Sheet1]" displayFolder="" count="0" memberValueDatatype="7" unbalanced="0"/>
    <cacheHierarchy uniqueName="[Sheet1].[Delivery Time]" caption="Delivery Time" attribute="1" time="1" defaultMemberUniqueName="[Sheet1].[Delivery Time].[All]" allUniqueName="[Sheet1].[Delivery Time].[All]" dimensionUniqueName="[Sheet1]" displayFolder="" count="0" memberValueDatatype="7" unbalanced="0"/>
    <cacheHierarchy uniqueName="[Sheet1].[Pizza Size]" caption="Pizza Size" attribute="1" defaultMemberUniqueName="[Sheet1].[Pizza Size].[All]" allUniqueName="[Sheet1].[Pizza Size].[All]" dimensionUniqueName="[Sheet1]" displayFolder="" count="0" memberValueDatatype="130" unbalanced="0"/>
    <cacheHierarchy uniqueName="[Sheet1].[Pizza Type]" caption="Pizza Type" attribute="1" defaultMemberUniqueName="[Sheet1].[Pizza Type].[All]" allUniqueName="[Sheet1].[Pizza Type].[All]" dimensionUniqueName="[Sheet1]" displayFolder="" count="0" memberValueDatatype="130" unbalanced="0"/>
    <cacheHierarchy uniqueName="[Sheet1].[Toppings Count]" caption="Toppings Count" attribute="1" defaultMemberUniqueName="[Sheet1].[Toppings Count].[All]" allUniqueName="[Sheet1].[Toppings Count].[All]" dimensionUniqueName="[Sheet1]" displayFolder="" count="0" memberValueDatatype="20" unbalanced="0"/>
    <cacheHierarchy uniqueName="[Sheet1].[Distance (km)]" caption="Distance (km)" attribute="1" defaultMemberUniqueName="[Sheet1].[Distance (km)].[All]" allUniqueName="[Sheet1].[Distance (km)].[All]" dimensionUniqueName="[Sheet1]" displayFolder="" count="0" memberValueDatatype="5" unbalanced="0"/>
    <cacheHierarchy uniqueName="[Sheet1].[Traffic Level]" caption="Traffic Level" attribute="1" defaultMemberUniqueName="[Sheet1].[Traffic Level].[All]" allUniqueName="[Sheet1].[Traffic Level].[All]" dimensionUniqueName="[Sheet1]" displayFolder="" count="0" memberValueDatatype="130" unbalanced="0"/>
    <cacheHierarchy uniqueName="[Sheet1].[Payment Method]" caption="Payment Method" attribute="1" defaultMemberUniqueName="[Sheet1].[Payment Method].[All]" allUniqueName="[Sheet1].[Payment Method].[All]" dimensionUniqueName="[Sheet1]" displayFolder="" count="0" memberValueDatatype="130" unbalanced="0"/>
    <cacheHierarchy uniqueName="[Sheet1].[Is Peak Hour]" caption="Is Peak Hour" attribute="1" defaultMemberUniqueName="[Sheet1].[Is Peak Hour].[All]" allUniqueName="[Sheet1].[Is Peak Hour].[All]" dimensionUniqueName="[Sheet1]" displayFolder="" count="0" memberValueDatatype="130" unbalanced="0"/>
    <cacheHierarchy uniqueName="[Sheet1].[Is Weekend]" caption="Is Weekend" attribute="1" defaultMemberUniqueName="[Sheet1].[Is Weekend].[All]" allUniqueName="[Sheet1].[Is Weekend].[All]" dimensionUniqueName="[Sheet1]" displayFolder="" count="2" memberValueDatatype="130" unbalanced="0"/>
    <cacheHierarchy uniqueName="[Sheet1].[Delivery Efficiency (min/km)]" caption="Delivery Efficiency (min/km)" attribute="1" defaultMemberUniqueName="[Sheet1].[Delivery Efficiency (min/km)].[All]" allUniqueName="[Sheet1].[Delivery Efficiency (min/km)].[All]" dimensionUniqueName="[Sheet1]" displayFolder="" count="0" memberValueDatatype="5" unbalanced="0"/>
    <cacheHierarchy uniqueName="[Sheet1].[Topping Density]" caption="Topping Density" attribute="1" defaultMemberUniqueName="[Sheet1].[Topping Density].[All]" allUniqueName="[Sheet1].[Topping Density].[All]" dimensionUniqueName="[Sheet1]" displayFolder="" count="0" memberValueDatatype="5" unbalanced="0"/>
    <cacheHierarchy uniqueName="[Sheet1].[Order Month]" caption="Order Month" attribute="1" defaultMemberUniqueName="[Sheet1].[Order Month].[All]" allUniqueName="[Sheet1].[Order Month].[All]" dimensionUniqueName="[Sheet1]" displayFolder="" count="0" memberValueDatatype="130" unbalanced="0"/>
    <cacheHierarchy uniqueName="[Sheet1].[Payment Category]" caption="Payment Category" attribute="1" defaultMemberUniqueName="[Sheet1].[Payment Category].[All]" allUniqueName="[Sheet1].[Payment Category].[All]" dimensionUniqueName="[Sheet1]" displayFolder="" count="0" memberValueDatatype="130" unbalanced="0"/>
    <cacheHierarchy uniqueName="[Sheet1].[Cycle Duration (min)]" caption="Cycle Duration (min)" attribute="1" defaultMemberUniqueName="[Sheet1].[Cycle Duration (min)].[All]" allUniqueName="[Sheet1].[Cycle Duration (min)].[All]" dimensionUniqueName="[Sheet1]" displayFolder="" count="0" memberValueDatatype="20" unbalanced="0"/>
    <cacheHierarchy uniqueName="[Sheet1].[Estimated Duration (min)]" caption="Estimated Duration (min)" attribute="1" defaultMemberUniqueName="[Sheet1].[Estimated Duration (min)].[All]" allUniqueName="[Sheet1].[Estimated Duration (min)].[All]" dimensionUniqueName="[Sheet1]" displayFolder="" count="0" memberValueDatatype="5" unbalanced="0"/>
    <cacheHierarchy uniqueName="[Sheet1].[Delay (min)]" caption="Delay (min)" attribute="1" defaultMemberUniqueName="[Sheet1].[Delay (min)].[All]" allUniqueName="[Sheet1].[Delay (min)].[All]" dimensionUniqueName="[Sheet1]" displayFolder="" count="0" memberValueDatatype="5" unbalanced="0"/>
    <cacheHierarchy uniqueName="[Sheet1].[Is Delayed]" caption="Is Delayed" attribute="1" defaultMemberUniqueName="[Sheet1].[Is Delayed].[All]" allUniqueName="[Sheet1].[Is Delayed].[All]" dimensionUniqueName="[Sheet1]" displayFolder="" count="0" memberValueDatatype="130" unbalanced="0"/>
    <cacheHierarchy uniqueName="[Sheet1].[Pizza Complexity]" caption="Pizza Complexity" attribute="1" defaultMemberUniqueName="[Sheet1].[Pizza Complexity].[All]" allUniqueName="[Sheet1].[Pizza Complexity].[All]" dimensionUniqueName="[Sheet1]" displayFolder="" count="0" memberValueDatatype="20" unbalanced="0"/>
    <cacheHierarchy uniqueName="[Sheet1].[Traffic Impact]" caption="Traffic Impact" attribute="1" defaultMemberUniqueName="[Sheet1].[Traffic Impact].[All]" allUniqueName="[Sheet1].[Traffic Impact].[All]" dimensionUniqueName="[Sheet1]" displayFolder="" count="0" memberValueDatatype="20" unbalanced="0"/>
    <cacheHierarchy uniqueName="[Sheet1].[Order Hour]" caption="Order Hour" attribute="1" defaultMemberUniqueName="[Sheet1].[Order Hour].[All]" allUniqueName="[Sheet1].[Order Hour].[All]" dimensionUniqueName="[Sheet1]" displayFolder="" count="0" memberValueDatatype="20" unbalanced="0"/>
    <cacheHierarchy uniqueName="[Sheet1].[Restaurant Avg Time]" caption="Restaurant Avg Time" attribute="1" defaultMemberUniqueName="[Sheet1].[Restaurant Avg Time].[All]" allUniqueName="[Sheet1].[Restaurant Avg Time].[All]" dimensionUniqueName="[Sheet1]" displayFolder="" count="0" memberValueDatatype="5" unbalanced="0"/>
    <cacheHierarchy uniqueName="[Sheet1].[year]" caption="year" attribute="1" defaultMemberUniqueName="[Sheet1].[year].[All]" allUniqueName="[Sheet1].[year].[All]" dimensionUniqueName="[Sheet1]" displayFolder="" count="2" memberValueDatatype="20" unbalanced="0"/>
    <cacheHierarchy uniqueName="[Measures].[Orders]" caption="Orders" measure="1" displayFolder="" measureGroup="Sheet1" count="0"/>
    <cacheHierarchy uniqueName="[Measures].[pizza_type]" caption="pizza_type" measure="1" displayFolder="" measureGroup="Sheet1" count="0"/>
    <cacheHierarchy uniqueName="[Measures].[Locations]" caption="Locations" measure="1" displayFolder="" measureGroup="Sheet1" count="0"/>
    <cacheHierarchy uniqueName="[Measures].[Restaurant]" caption="Restaurant"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4719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C1BDC-16BC-4672-A583-A6415FF76B72}" name="PivotTable10" cacheId="1304" applyNumberFormats="0" applyBorderFormats="0" applyFontFormats="0" applyPatternFormats="0" applyAlignmentFormats="0" applyWidthHeightFormats="1" dataCaption="Values" tag="e5f93eb4-7b9a-4bae-ae36-371087ee06de" updatedVersion="8" minRefreshableVersion="3" useAutoFormatting="1" itemPrintTitles="1" createdVersion="8" indent="0" outline="1" outlineData="1" multipleFieldFilters="0" chartFormat="9">
  <location ref="C19:D2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2" subtotal="count" showDataAs="percentOfTotal" baseField="0" baseItem="0" numFmtId="9"/>
  </dataFields>
  <chartFormats count="7">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 count="1" selected="0">
            <x v="0"/>
          </reference>
        </references>
      </pivotArea>
    </chartFormat>
    <chartFormat chart="8" format="16">
      <pivotArea type="data" outline="0" fieldPosition="0">
        <references count="2">
          <reference field="4294967294" count="1" selected="0">
            <x v="0"/>
          </reference>
          <reference field="1" count="1" selected="0">
            <x v="1"/>
          </reference>
        </references>
      </pivotArea>
    </chartFormat>
    <chartFormat chart="8" format="17">
      <pivotArea type="data" outline="0" fieldPosition="0">
        <references count="2">
          <reference field="4294967294" count="1" selected="0">
            <x v="0"/>
          </reference>
          <reference field="1" count="1" selected="0">
            <x v="2"/>
          </reference>
        </references>
      </pivotArea>
    </chartFormat>
    <chartFormat chart="8" format="18">
      <pivotArea type="data" outline="0" fieldPosition="0">
        <references count="2">
          <reference field="4294967294" count="1" selected="0">
            <x v="0"/>
          </reference>
          <reference field="1" count="1" selected="0">
            <x v="3"/>
          </reference>
        </references>
      </pivotArea>
    </chartFormat>
    <chartFormat chart="8" format="19">
      <pivotArea type="data" outline="0" fieldPosition="0">
        <references count="2">
          <reference field="4294967294" count="1" selected="0">
            <x v="0"/>
          </reference>
          <reference field="1" count="1" selected="0">
            <x v="4"/>
          </reference>
        </references>
      </pivotArea>
    </chartFormat>
    <chartFormat chart="8" format="20">
      <pivotArea type="data" outline="0" fieldPosition="0">
        <references count="2">
          <reference field="4294967294" count="1" selected="0">
            <x v="0"/>
          </reference>
          <reference field="1"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9DCA0F-BDDF-4BDF-A4A4-E752802FC95D}" name="PivotTable9" cacheId="1328" applyNumberFormats="0" applyBorderFormats="0" applyFontFormats="0" applyPatternFormats="0" applyAlignmentFormats="0" applyWidthHeightFormats="1" dataCaption="Values" tag="b0c5143e-cdd9-4123-b42e-beaff2584dfd" updatedVersion="8" minRefreshableVersion="3" useAutoFormatting="1" itemPrintTitles="1" createdVersion="8" indent="0" outline="1" outlineData="1" multipleFieldFilters="0" chartFormat="13">
  <location ref="I18:J23"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0" subtotal="count" showDataAs="percentOfTotal" baseField="0" baseItem="0" numFmtId="9"/>
  </dataFields>
  <chartFormats count="5">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 chart="10" format="9">
      <pivotArea type="data" outline="0" fieldPosition="0">
        <references count="2">
          <reference field="4294967294" count="1" selected="0">
            <x v="0"/>
          </reference>
          <reference field="2" count="1" selected="0">
            <x v="2"/>
          </reference>
        </references>
      </pivotArea>
    </chartFormat>
    <chartFormat chart="10" format="10">
      <pivotArea type="data" outline="0" fieldPosition="0">
        <references count="2">
          <reference field="4294967294" count="1" selected="0">
            <x v="0"/>
          </reference>
          <reference field="2" count="1" selected="0">
            <x v="3"/>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382022-A302-4148-99D3-740F704E10AA}" name="PivotTable8" cacheId="1325" applyNumberFormats="0" applyBorderFormats="0" applyFontFormats="0" applyPatternFormats="0" applyAlignmentFormats="0" applyWidthHeightFormats="1" dataCaption="Values" tag="1e5d34a1-6e24-42ec-8611-dd2b0264283b" updatedVersion="8" minRefreshableVersion="3" useAutoFormatting="1" itemPrintTitles="1" createdVersion="8" indent="0" outline="1" outlineData="1" multipleFieldFilters="0" chartFormat="5">
  <location ref="C4:D17" firstHeaderRow="1" firstDataRow="1" firstDataCol="1"/>
  <pivotFields count="4">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56052-9164-46C0-9CDD-5784359F90DA}" name="PivotTable7" cacheId="1322" applyNumberFormats="0" applyBorderFormats="0" applyFontFormats="0" applyPatternFormats="0" applyAlignmentFormats="0" applyWidthHeightFormats="1" dataCaption="Values" tag="fb7a84d2-0694-4393-aa95-3e981fdb9916" updatedVersion="8" minRefreshableVersion="3" useAutoFormatting="1" itemPrintTitles="1" createdVersion="8" indent="0" outline="1" outlineData="1" multipleFieldFilters="0" chartFormat="7">
  <location ref="F4:G15"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v="5"/>
    </i>
    <i>
      <x v="7"/>
    </i>
    <i>
      <x v="4"/>
    </i>
    <i>
      <x v="2"/>
    </i>
    <i>
      <x/>
    </i>
    <i>
      <x v="9"/>
    </i>
    <i>
      <x v="6"/>
    </i>
    <i>
      <x v="8"/>
    </i>
    <i>
      <x v="1"/>
    </i>
    <i t="grand">
      <x/>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A1FEE-7DE4-4376-9CEC-846C985129D3}" name="PivotTable6" cacheId="1319" applyNumberFormats="0" applyBorderFormats="0" applyFontFormats="0" applyPatternFormats="0" applyAlignmentFormats="0" applyWidthHeightFormats="1" dataCaption="Values" tag="99a7ad61-731e-4f86-8e62-4baf8359e87f" updatedVersion="8" minRefreshableVersion="3" useAutoFormatting="1" itemPrintTitles="1" createdVersion="8" indent="0" outline="1" outlineData="1" multipleFieldFilters="0" chartFormat="5">
  <location ref="I4:J10"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3"/>
    </i>
    <i>
      <x v="1"/>
    </i>
    <i>
      <x v="2"/>
    </i>
    <i>
      <x v="4"/>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7053FF-A44C-42B5-A6D0-3DEFBF3087C1}" name="PivotTable5" cacheId="1316" applyNumberFormats="0" applyBorderFormats="0" applyFontFormats="0" applyPatternFormats="0" applyAlignmentFormats="0" applyWidthHeightFormats="1" dataCaption="Values" tag="bf316391-6485-4c91-8b88-012b0542b121" updatedVersion="8" minRefreshableVersion="3" useAutoFormatting="1" itemPrintTitles="1" createdVersion="8" indent="0" outline="1" outlineData="1" multipleFieldFilters="0">
  <location ref="L15:L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75ACD-DD36-4577-A733-507A8E45068C}" name="PivotTable4" cacheId="1313" applyNumberFormats="0" applyBorderFormats="0" applyFontFormats="0" applyPatternFormats="0" applyAlignmentFormats="0" applyWidthHeightFormats="1" dataCaption="Values" tag="4d3c710e-8ec4-4935-a0df-f5e96acb532c" updatedVersion="8" minRefreshableVersion="3" useAutoFormatting="1" itemPrintTitles="1" createdVersion="8" indent="0" outline="1" outlineData="1" multipleFieldFilters="0">
  <location ref="L12:L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65F62F-1C3C-4196-B10E-288CDF12EA61}" name="PivotTable3" cacheId="1310" applyNumberFormats="0" applyBorderFormats="0" applyFontFormats="0" applyPatternFormats="0" applyAlignmentFormats="0" applyWidthHeightFormats="1" dataCaption="Values" tag="e67b6754-bf3e-4c26-afbe-dcff58d0fc23" updatedVersion="8" minRefreshableVersion="3" useAutoFormatting="1" itemPrintTitles="1" createdVersion="8" indent="0" outline="1" outlineData="1" multipleFieldFilters="0">
  <location ref="L8:L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2AAE5-B95B-4F17-BEF5-383902C4CB56}" name="PivotTable2" cacheId="1307" applyNumberFormats="0" applyBorderFormats="0" applyFontFormats="0" applyPatternFormats="0" applyAlignmentFormats="0" applyWidthHeightFormats="1" dataCaption="Values" tag="4d656d67-3a3a-4d80-855e-2f3cf23a0be9" updatedVersion="8" minRefreshableVersion="3" useAutoFormatting="1" itemPrintTitles="1" createdVersion="8" indent="0" outline="1" outlineData="1" multipleFieldFilters="0">
  <location ref="L5:L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4CD43D-457F-449B-87DD-8271FEEA41DF}" name="PivotTable1" cacheId="1301" applyNumberFormats="0" applyBorderFormats="0" applyFontFormats="0" applyPatternFormats="0" applyAlignmentFormats="0" applyWidthHeightFormats="1" dataCaption="Values" tag="142cfa98-8fe9-4385-a8f5-5a1be4eca52f" updatedVersion="8" minRefreshableVersion="3" useAutoFormatting="1" itemPrintTitles="1" createdVersion="8" indent="0" outline="1" outlineData="1" multipleFieldFilters="0" chartFormat="5">
  <location ref="F18:G3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CFA23EA1-4E50-4D33-90F6-B20917D37760}" sourceName="[Sheet1].[Is Weekend]">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s>
  <data>
    <olap pivotCacheId="874719413">
      <levels count="2">
        <level uniqueName="[Sheet1].[Is Weekend].[(All)]" sourceCaption="(All)" count="0"/>
        <level uniqueName="[Sheet1].[Is Weekend].[Is Weekend]" sourceCaption="Is Weekend" count="2">
          <ranges>
            <range startItem="0">
              <i n="[Sheet1].[Is Weekend].&amp;[Weekend]" c="Weekend"/>
              <i n="[Sheet1].[Is Weekend].&amp;[Workday]" c="Workday"/>
            </range>
          </ranges>
        </level>
      </levels>
      <selections count="1">
        <selection n="[Sheet1].[Is Weekend].[All]"/>
      </selections>
    </olap>
  </data>
  <extLst>
    <x:ext xmlns:x15="http://schemas.microsoft.com/office/spreadsheetml/2010/11/main" uri="{470722E0-AACD-4C17-9CDC-17EF765DBC7E}">
      <x15:slicerCacheHideItemsWithNoData count="1">
        <x15:slicerCacheOlapLevelName uniqueName="[Sheet1].[Is Weekend].[Is Weekend]"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872513-C7AD-4ADC-BDE2-739CA3BBEFB7}" sourceName="[Sheet1].[year]">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74719413">
      <levels count="2">
        <level uniqueName="[Sheet1].[year].[(All)]" sourceCaption="(All)" count="0"/>
        <level uniqueName="[Sheet1].[year].[year]" sourceCaption="year" count="3">
          <ranges>
            <range startItem="0">
              <i n="[Sheet1].[year].&amp;[2024]" c="2024"/>
              <i n="[Sheet1].[year].&amp;[2025]" c="2025"/>
              <i n="[Sheet1].[year].&amp;[2026]" c="2026"/>
            </range>
          </ranges>
        </level>
      </levels>
      <selections count="1">
        <selection n="[Sheet1].[year].[All]"/>
      </selections>
    </olap>
  </data>
  <extLst>
    <x:ext xmlns:x15="http://schemas.microsoft.com/office/spreadsheetml/2010/11/main" uri="{470722E0-AACD-4C17-9CDC-17EF765DBC7E}">
      <x15:slicerCacheHideItemsWithNoData count="1">
        <x15:slicerCacheOlapLevelName uniqueName="[Sheet1].[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Weekend" xr10:uid="{FC357DFC-6919-41A2-87E1-9A8DFCFCFA71}" cache="Slicer_Is_Weekend" caption="Is Weekend" columnCount="2" showCaption="0"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Weekend 1" xr10:uid="{EAF9182D-AABD-4353-A70D-BC687738F3F2}" cache="Slicer_Is_Weekend" caption="Is Weekend" columnCount="2" showCaption="0" level="1" style="SlicerStyleLight3" rowHeight="241300"/>
  <slicer name="year" xr10:uid="{C4E1E3D4-35FE-439F-9050-2DB402DCFA49}" cache="Slicer_year" caption="year" columnCount="3" showCaption="0" level="1"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76864-D5F9-46DF-9427-80DEAA5EA9A5}">
  <dimension ref="C1:L31"/>
  <sheetViews>
    <sheetView rightToLeft="1" workbookViewId="0">
      <selection activeCell="B11" sqref="B11"/>
    </sheetView>
  </sheetViews>
  <sheetFormatPr defaultRowHeight="14.25" x14ac:dyDescent="0.2"/>
  <cols>
    <col min="3" max="3" width="13.125" bestFit="1" customWidth="1"/>
    <col min="4" max="4" width="7.125" bestFit="1" customWidth="1"/>
    <col min="6" max="6" width="14.75" bestFit="1" customWidth="1"/>
    <col min="7" max="8" width="7.125" bestFit="1" customWidth="1"/>
    <col min="9" max="9" width="13.125" bestFit="1" customWidth="1"/>
    <col min="10" max="10" width="7.125" bestFit="1" customWidth="1"/>
    <col min="12" max="12" width="10.625" bestFit="1" customWidth="1"/>
  </cols>
  <sheetData>
    <row r="1" spans="3:12" x14ac:dyDescent="0.2">
      <c r="C1" s="1"/>
      <c r="D1" s="1"/>
      <c r="E1" s="1"/>
      <c r="F1" s="1"/>
      <c r="G1" s="1"/>
      <c r="H1" s="1"/>
      <c r="I1" s="1"/>
      <c r="J1" s="1"/>
    </row>
    <row r="2" spans="3:12" x14ac:dyDescent="0.2">
      <c r="C2" s="1"/>
      <c r="D2" s="1"/>
      <c r="E2" s="1"/>
      <c r="F2" s="1"/>
      <c r="G2" s="1"/>
      <c r="H2" s="1"/>
      <c r="I2" s="1"/>
      <c r="J2" s="1"/>
    </row>
    <row r="4" spans="3:12" x14ac:dyDescent="0.2">
      <c r="C4" s="3" t="s">
        <v>4</v>
      </c>
      <c r="D4" t="s">
        <v>0</v>
      </c>
      <c r="F4" s="3" t="s">
        <v>4</v>
      </c>
      <c r="G4" t="s">
        <v>0</v>
      </c>
      <c r="I4" s="3" t="s">
        <v>4</v>
      </c>
      <c r="J4" t="s">
        <v>0</v>
      </c>
    </row>
    <row r="5" spans="3:12" x14ac:dyDescent="0.2">
      <c r="C5" s="4" t="s">
        <v>21</v>
      </c>
      <c r="D5" s="2">
        <v>54</v>
      </c>
      <c r="F5" s="4" t="s">
        <v>14</v>
      </c>
      <c r="G5" s="2">
        <v>45</v>
      </c>
      <c r="I5" s="4" t="s">
        <v>5</v>
      </c>
      <c r="J5" s="2">
        <v>212</v>
      </c>
      <c r="L5" t="s">
        <v>0</v>
      </c>
    </row>
    <row r="6" spans="3:12" x14ac:dyDescent="0.2">
      <c r="C6" s="4" t="s">
        <v>22</v>
      </c>
      <c r="D6" s="2">
        <v>188</v>
      </c>
      <c r="F6" s="4" t="s">
        <v>16</v>
      </c>
      <c r="G6" s="2">
        <v>46</v>
      </c>
      <c r="I6" s="4" t="s">
        <v>8</v>
      </c>
      <c r="J6" s="2">
        <v>204</v>
      </c>
      <c r="L6" s="2">
        <v>1004</v>
      </c>
    </row>
    <row r="7" spans="3:12" x14ac:dyDescent="0.2">
      <c r="C7" s="4" t="s">
        <v>23</v>
      </c>
      <c r="D7" s="2">
        <v>6</v>
      </c>
      <c r="F7" s="4" t="s">
        <v>18</v>
      </c>
      <c r="G7" s="2">
        <v>49</v>
      </c>
      <c r="I7" s="4" t="s">
        <v>6</v>
      </c>
      <c r="J7" s="2">
        <v>199</v>
      </c>
    </row>
    <row r="8" spans="3:12" x14ac:dyDescent="0.2">
      <c r="C8" s="4" t="s">
        <v>24</v>
      </c>
      <c r="D8" s="2">
        <v>41</v>
      </c>
      <c r="F8" s="4" t="s">
        <v>15</v>
      </c>
      <c r="G8" s="2">
        <v>50</v>
      </c>
      <c r="I8" s="4" t="s">
        <v>7</v>
      </c>
      <c r="J8" s="2">
        <v>195</v>
      </c>
      <c r="L8" t="s">
        <v>1</v>
      </c>
    </row>
    <row r="9" spans="3:12" x14ac:dyDescent="0.2">
      <c r="C9" s="4" t="s">
        <v>25</v>
      </c>
      <c r="D9" s="2">
        <v>54</v>
      </c>
      <c r="F9" s="4" t="s">
        <v>13</v>
      </c>
      <c r="G9" s="2">
        <v>51</v>
      </c>
      <c r="I9" s="4" t="s">
        <v>9</v>
      </c>
      <c r="J9" s="2">
        <v>194</v>
      </c>
      <c r="L9" s="2">
        <v>12</v>
      </c>
    </row>
    <row r="10" spans="3:12" x14ac:dyDescent="0.2">
      <c r="C10" s="4" t="s">
        <v>26</v>
      </c>
      <c r="D10" s="2">
        <v>216</v>
      </c>
      <c r="F10" s="4" t="s">
        <v>11</v>
      </c>
      <c r="G10" s="2">
        <v>59</v>
      </c>
      <c r="I10" s="4" t="s">
        <v>10</v>
      </c>
      <c r="J10" s="2">
        <v>1004</v>
      </c>
    </row>
    <row r="11" spans="3:12" x14ac:dyDescent="0.2">
      <c r="C11" s="4" t="s">
        <v>27</v>
      </c>
      <c r="D11" s="2">
        <v>64</v>
      </c>
      <c r="F11" s="4" t="s">
        <v>20</v>
      </c>
      <c r="G11" s="2">
        <v>68</v>
      </c>
    </row>
    <row r="12" spans="3:12" x14ac:dyDescent="0.2">
      <c r="C12" s="4" t="s">
        <v>28</v>
      </c>
      <c r="D12" s="2">
        <v>21</v>
      </c>
      <c r="F12" s="4" t="s">
        <v>17</v>
      </c>
      <c r="G12" s="2">
        <v>69</v>
      </c>
      <c r="L12" t="s">
        <v>2</v>
      </c>
    </row>
    <row r="13" spans="3:12" x14ac:dyDescent="0.2">
      <c r="C13" s="4" t="s">
        <v>29</v>
      </c>
      <c r="D13" s="2">
        <v>24</v>
      </c>
      <c r="F13" s="4" t="s">
        <v>19</v>
      </c>
      <c r="G13" s="2">
        <v>71</v>
      </c>
      <c r="L13" s="2">
        <v>84</v>
      </c>
    </row>
    <row r="14" spans="3:12" x14ac:dyDescent="0.2">
      <c r="C14" s="4" t="s">
        <v>30</v>
      </c>
      <c r="D14" s="2">
        <v>2</v>
      </c>
      <c r="F14" s="4" t="s">
        <v>12</v>
      </c>
      <c r="G14" s="2">
        <v>78</v>
      </c>
    </row>
    <row r="15" spans="3:12" x14ac:dyDescent="0.2">
      <c r="C15" s="4" t="s">
        <v>31</v>
      </c>
      <c r="D15" s="2">
        <v>202</v>
      </c>
      <c r="F15" s="4" t="s">
        <v>10</v>
      </c>
      <c r="G15" s="2">
        <v>586</v>
      </c>
      <c r="L15" t="s">
        <v>3</v>
      </c>
    </row>
    <row r="16" spans="3:12" x14ac:dyDescent="0.2">
      <c r="C16" s="4" t="s">
        <v>32</v>
      </c>
      <c r="D16" s="2">
        <v>132</v>
      </c>
      <c r="L16" s="2">
        <v>5</v>
      </c>
    </row>
    <row r="17" spans="3:10" x14ac:dyDescent="0.2">
      <c r="C17" s="4" t="s">
        <v>10</v>
      </c>
      <c r="D17" s="2">
        <v>1004</v>
      </c>
    </row>
    <row r="18" spans="3:10" x14ac:dyDescent="0.2">
      <c r="F18" s="3" t="s">
        <v>4</v>
      </c>
      <c r="G18" t="s">
        <v>0</v>
      </c>
      <c r="I18" s="3" t="s">
        <v>4</v>
      </c>
      <c r="J18" t="s">
        <v>0</v>
      </c>
    </row>
    <row r="19" spans="3:10" x14ac:dyDescent="0.2">
      <c r="C19" s="3" t="s">
        <v>4</v>
      </c>
      <c r="D19" t="s">
        <v>0</v>
      </c>
      <c r="F19" s="4" t="s">
        <v>43</v>
      </c>
      <c r="G19" s="2">
        <v>91</v>
      </c>
      <c r="I19" s="4" t="s">
        <v>33</v>
      </c>
      <c r="J19" s="6">
        <v>0.23904382470119523</v>
      </c>
    </row>
    <row r="20" spans="3:10" x14ac:dyDescent="0.2">
      <c r="C20" s="4" t="s">
        <v>37</v>
      </c>
      <c r="D20" s="6">
        <v>0.27490039840637448</v>
      </c>
      <c r="F20" s="4" t="s">
        <v>44</v>
      </c>
      <c r="G20" s="2">
        <v>117</v>
      </c>
      <c r="I20" s="4" t="s">
        <v>34</v>
      </c>
      <c r="J20" s="6">
        <v>0.42729083665338646</v>
      </c>
    </row>
    <row r="21" spans="3:10" x14ac:dyDescent="0.2">
      <c r="C21" s="4" t="s">
        <v>38</v>
      </c>
      <c r="D21" s="6">
        <v>0.20119521912350596</v>
      </c>
      <c r="F21" s="4" t="s">
        <v>45</v>
      </c>
      <c r="G21" s="2">
        <v>80</v>
      </c>
      <c r="I21" s="4" t="s">
        <v>35</v>
      </c>
      <c r="J21" s="6">
        <v>0.13147410358565736</v>
      </c>
    </row>
    <row r="22" spans="3:10" x14ac:dyDescent="0.2">
      <c r="C22" s="4" t="s">
        <v>39</v>
      </c>
      <c r="D22" s="6">
        <v>2.2908366533864542E-2</v>
      </c>
      <c r="F22" s="4" t="s">
        <v>46</v>
      </c>
      <c r="G22" s="2">
        <v>86</v>
      </c>
      <c r="I22" s="4" t="s">
        <v>36</v>
      </c>
      <c r="J22" s="6">
        <v>0.20219123505976094</v>
      </c>
    </row>
    <row r="23" spans="3:10" x14ac:dyDescent="0.2">
      <c r="C23" s="4" t="s">
        <v>42</v>
      </c>
      <c r="D23" s="6">
        <v>2.3904382470119521E-2</v>
      </c>
      <c r="F23" s="4" t="s">
        <v>47</v>
      </c>
      <c r="G23" s="2">
        <v>88</v>
      </c>
      <c r="I23" s="4" t="s">
        <v>10</v>
      </c>
      <c r="J23" s="6">
        <v>1</v>
      </c>
    </row>
    <row r="24" spans="3:10" x14ac:dyDescent="0.2">
      <c r="C24" s="4" t="s">
        <v>40</v>
      </c>
      <c r="D24" s="6">
        <v>0.26992031872509958</v>
      </c>
      <c r="F24" s="4" t="s">
        <v>48</v>
      </c>
      <c r="G24" s="2">
        <v>49</v>
      </c>
    </row>
    <row r="25" spans="3:10" x14ac:dyDescent="0.2">
      <c r="C25" s="4" t="s">
        <v>41</v>
      </c>
      <c r="D25" s="6">
        <v>0.20717131474103587</v>
      </c>
      <c r="F25" s="4" t="s">
        <v>49</v>
      </c>
      <c r="G25" s="2">
        <v>91</v>
      </c>
    </row>
    <row r="26" spans="3:10" x14ac:dyDescent="0.2">
      <c r="C26" s="4" t="s">
        <v>10</v>
      </c>
      <c r="D26" s="6">
        <v>1</v>
      </c>
      <c r="F26" s="4" t="s">
        <v>50</v>
      </c>
      <c r="G26" s="2">
        <v>94</v>
      </c>
    </row>
    <row r="27" spans="3:10" x14ac:dyDescent="0.2">
      <c r="F27" s="4" t="s">
        <v>51</v>
      </c>
      <c r="G27" s="2">
        <v>68</v>
      </c>
    </row>
    <row r="28" spans="3:10" x14ac:dyDescent="0.2">
      <c r="F28" s="4" t="s">
        <v>52</v>
      </c>
      <c r="G28" s="2">
        <v>60</v>
      </c>
    </row>
    <row r="29" spans="3:10" x14ac:dyDescent="0.2">
      <c r="F29" s="4" t="s">
        <v>53</v>
      </c>
      <c r="G29" s="2">
        <v>75</v>
      </c>
    </row>
    <row r="30" spans="3:10" x14ac:dyDescent="0.2">
      <c r="F30" s="4" t="s">
        <v>54</v>
      </c>
      <c r="G30" s="2">
        <v>105</v>
      </c>
    </row>
    <row r="31" spans="3:10" x14ac:dyDescent="0.2">
      <c r="F31" s="4" t="s">
        <v>10</v>
      </c>
      <c r="G31" s="2">
        <v>1004</v>
      </c>
    </row>
  </sheetData>
  <mergeCells count="1">
    <mergeCell ref="C1:J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4CFF-4F04-4128-9A5F-D60CFD01F940}">
  <dimension ref="A1"/>
  <sheetViews>
    <sheetView rightToLeft="1" tabSelected="1" zoomScale="69" zoomScaleNormal="69" workbookViewId="0">
      <selection activeCell="AA9" sqref="AA9"/>
    </sheetView>
  </sheetViews>
  <sheetFormatPr defaultRowHeight="14.25" x14ac:dyDescent="0.2"/>
  <cols>
    <col min="1" max="16384" width="9"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4CBE7A7-9512-4C31-B452-DBDDB171B1BD}">
  <ds:schemaRefs/>
</ds:datastoreItem>
</file>

<file path=customXml/itemProps2.xml><?xml version="1.0" encoding="utf-8"?>
<ds:datastoreItem xmlns:ds="http://schemas.openxmlformats.org/officeDocument/2006/customXml" ds:itemID="{4B03F05F-1C82-4B54-86E1-9A37D31C4D9D}">
  <ds:schemaRefs/>
</ds:datastoreItem>
</file>

<file path=customXml/itemProps3.xml><?xml version="1.0" encoding="utf-8"?>
<ds:datastoreItem xmlns:ds="http://schemas.openxmlformats.org/officeDocument/2006/customXml" ds:itemID="{3F6BA524-C201-4B89-BCE8-2B8B2E5D8420}">
  <ds:schemaRefs/>
</ds:datastoreItem>
</file>

<file path=customXml/itemProps4.xml><?xml version="1.0" encoding="utf-8"?>
<ds:datastoreItem xmlns:ds="http://schemas.openxmlformats.org/officeDocument/2006/customXml" ds:itemID="{7926C151-CB76-42F8-B10B-9215F2C2CE90}">
  <ds:schemaRefs/>
</ds:datastoreItem>
</file>

<file path=customXml/itemProps5.xml><?xml version="1.0" encoding="utf-8"?>
<ds:datastoreItem xmlns:ds="http://schemas.openxmlformats.org/officeDocument/2006/customXml" ds:itemID="{518CEE88-4E11-41B1-B397-C52BDBBD3FD4}">
  <ds:schemaRefs/>
</ds:datastoreItem>
</file>

<file path=customXml/itemProps6.xml><?xml version="1.0" encoding="utf-8"?>
<ds:datastoreItem xmlns:ds="http://schemas.openxmlformats.org/officeDocument/2006/customXml" ds:itemID="{5657C653-960F-4436-BB63-1C4054D921C2}">
  <ds:schemaRefs/>
</ds:datastoreItem>
</file>

<file path=customXml/itemProps7.xml><?xml version="1.0" encoding="utf-8"?>
<ds:datastoreItem xmlns:ds="http://schemas.openxmlformats.org/officeDocument/2006/customXml" ds:itemID="{09DCC700-923A-4332-8CF5-2F4C7A6DA9E4}">
  <ds:schemaRefs/>
</ds:datastoreItem>
</file>

<file path=customXml/itemProps8.xml><?xml version="1.0" encoding="utf-8"?>
<ds:datastoreItem xmlns:ds="http://schemas.openxmlformats.org/officeDocument/2006/customXml" ds:itemID="{3D29F274-0AD0-48BF-A1D3-269AF0E6FDD4}">
  <ds:schemaRefs/>
</ds:datastoreItem>
</file>

<file path=customXml/itemProps9.xml><?xml version="1.0" encoding="utf-8"?>
<ds:datastoreItem xmlns:ds="http://schemas.openxmlformats.org/officeDocument/2006/customXml" ds:itemID="{068CC43E-4B24-4F9C-89C5-9098B48DEBB7}">
  <ds:schemaRefs/>
</ds:datastoreItem>
</file>

<file path=customXml/itemProps10.xml><?xml version="1.0" encoding="utf-8"?>
<ds:datastoreItem xmlns:ds="http://schemas.openxmlformats.org/officeDocument/2006/customXml" ds:itemID="{00A03155-385E-4E78-97FF-DC9B43F82BA0}">
  <ds:schemaRefs/>
</ds:datastoreItem>
</file>

<file path=customXml/itemProps11.xml><?xml version="1.0" encoding="utf-8"?>
<ds:datastoreItem xmlns:ds="http://schemas.openxmlformats.org/officeDocument/2006/customXml" ds:itemID="{7C13CAFD-5CDF-4EEB-B20E-8C2B6D8DB2D2}">
  <ds:schemaRefs/>
</ds:datastoreItem>
</file>

<file path=customXml/itemProps12.xml><?xml version="1.0" encoding="utf-8"?>
<ds:datastoreItem xmlns:ds="http://schemas.openxmlformats.org/officeDocument/2006/customXml" ds:itemID="{8ED565D0-B338-46BF-9DD2-6ACACD4CB701}">
  <ds:schemaRefs>
    <ds:schemaRef ds:uri="http://schemas.microsoft.com/DataMashup"/>
  </ds:schemaRefs>
</ds:datastoreItem>
</file>

<file path=customXml/itemProps13.xml><?xml version="1.0" encoding="utf-8"?>
<ds:datastoreItem xmlns:ds="http://schemas.openxmlformats.org/officeDocument/2006/customXml" ds:itemID="{66DA5A4E-9040-45CA-8297-A93D51AE1F4A}">
  <ds:schemaRefs/>
</ds:datastoreItem>
</file>

<file path=customXml/itemProps14.xml><?xml version="1.0" encoding="utf-8"?>
<ds:datastoreItem xmlns:ds="http://schemas.openxmlformats.org/officeDocument/2006/customXml" ds:itemID="{C19D1DA5-1D49-4031-AB64-4DF93D09894C}">
  <ds:schemaRefs/>
</ds:datastoreItem>
</file>

<file path=customXml/itemProps15.xml><?xml version="1.0" encoding="utf-8"?>
<ds:datastoreItem xmlns:ds="http://schemas.openxmlformats.org/officeDocument/2006/customXml" ds:itemID="{2EA8E63C-4D29-425C-B4AB-895233745C27}">
  <ds:schemaRefs/>
</ds:datastoreItem>
</file>

<file path=customXml/itemProps16.xml><?xml version="1.0" encoding="utf-8"?>
<ds:datastoreItem xmlns:ds="http://schemas.openxmlformats.org/officeDocument/2006/customXml" ds:itemID="{C61851DD-EDEE-4AF7-AC9D-8A28B4172056}">
  <ds:schemaRefs/>
</ds:datastoreItem>
</file>

<file path=customXml/itemProps17.xml><?xml version="1.0" encoding="utf-8"?>
<ds:datastoreItem xmlns:ds="http://schemas.openxmlformats.org/officeDocument/2006/customXml" ds:itemID="{FC223C66-71E4-48DE-9105-3A59131E83BB}">
  <ds:schemaRefs/>
</ds:datastoreItem>
</file>

<file path=customXml/itemProps18.xml><?xml version="1.0" encoding="utf-8"?>
<ds:datastoreItem xmlns:ds="http://schemas.openxmlformats.org/officeDocument/2006/customXml" ds:itemID="{2BDEC11E-89E0-4EB2-B780-A0E2B14E927C}">
  <ds:schemaRefs/>
</ds:datastoreItem>
</file>

<file path=customXml/itemProps19.xml><?xml version="1.0" encoding="utf-8"?>
<ds:datastoreItem xmlns:ds="http://schemas.openxmlformats.org/officeDocument/2006/customXml" ds:itemID="{ECC5E933-2266-4A23-8688-06AD86EE1284}">
  <ds:schemaRefs/>
</ds:datastoreItem>
</file>

<file path=customXml/itemProps20.xml><?xml version="1.0" encoding="utf-8"?>
<ds:datastoreItem xmlns:ds="http://schemas.openxmlformats.org/officeDocument/2006/customXml" ds:itemID="{64FB062A-6EE0-4B92-97E6-F39BF885A593}">
  <ds:schemaRefs/>
</ds:datastoreItem>
</file>

<file path=customXml/itemProps21.xml><?xml version="1.0" encoding="utf-8"?>
<ds:datastoreItem xmlns:ds="http://schemas.openxmlformats.org/officeDocument/2006/customXml" ds:itemID="{EF55CBEE-2CC0-448C-8E4A-8B61F1E7D939}">
  <ds:schemaRefs/>
</ds:datastoreItem>
</file>

<file path=customXml/itemProps22.xml><?xml version="1.0" encoding="utf-8"?>
<ds:datastoreItem xmlns:ds="http://schemas.openxmlformats.org/officeDocument/2006/customXml" ds:itemID="{36EC6C05-6C2D-4FAE-A38E-899C0207B8F2}">
  <ds:schemaRefs/>
</ds:datastoreItem>
</file>

<file path=customXml/itemProps23.xml><?xml version="1.0" encoding="utf-8"?>
<ds:datastoreItem xmlns:ds="http://schemas.openxmlformats.org/officeDocument/2006/customXml" ds:itemID="{F78738FB-444C-4880-8512-9C2D1ED8C19B}">
  <ds:schemaRefs/>
</ds:datastoreItem>
</file>

<file path=customXml/itemProps24.xml><?xml version="1.0" encoding="utf-8"?>
<ds:datastoreItem xmlns:ds="http://schemas.openxmlformats.org/officeDocument/2006/customXml" ds:itemID="{B6529EEE-6C0E-40B1-B70C-BA9DCA8481F4}">
  <ds:schemaRefs/>
</ds:datastoreItem>
</file>

<file path=customXml/itemProps25.xml><?xml version="1.0" encoding="utf-8"?>
<ds:datastoreItem xmlns:ds="http://schemas.openxmlformats.org/officeDocument/2006/customXml" ds:itemID="{3DCC94AA-6DBB-45C0-B623-FC9A6747737A}">
  <ds:schemaRefs/>
</ds:datastoreItem>
</file>

<file path=customXml/itemProps26.xml><?xml version="1.0" encoding="utf-8"?>
<ds:datastoreItem xmlns:ds="http://schemas.openxmlformats.org/officeDocument/2006/customXml" ds:itemID="{B04765DC-745B-4B8D-AAAD-39129BA79FB2}">
  <ds:schemaRefs/>
</ds:datastoreItem>
</file>

<file path=customXml/itemProps27.xml><?xml version="1.0" encoding="utf-8"?>
<ds:datastoreItem xmlns:ds="http://schemas.openxmlformats.org/officeDocument/2006/customXml" ds:itemID="{046E60B5-0E23-48F5-8746-1E318FE80E31}">
  <ds:schemaRefs/>
</ds:datastoreItem>
</file>

<file path=customXml/itemProps28.xml><?xml version="1.0" encoding="utf-8"?>
<ds:datastoreItem xmlns:ds="http://schemas.openxmlformats.org/officeDocument/2006/customXml" ds:itemID="{1C7E16E5-49A2-4559-AC76-DA1FF67DE3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Hany Mostafa</dc:creator>
  <cp:lastModifiedBy>Mohamed Hany Mostafa</cp:lastModifiedBy>
  <dcterms:created xsi:type="dcterms:W3CDTF">2026-09-21T12:55:34Z</dcterms:created>
  <dcterms:modified xsi:type="dcterms:W3CDTF">2026-09-22T14:46:27Z</dcterms:modified>
</cp:coreProperties>
</file>